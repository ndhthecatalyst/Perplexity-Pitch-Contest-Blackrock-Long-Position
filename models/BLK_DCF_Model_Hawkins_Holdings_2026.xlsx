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come Statement" sheetId="2" state="visible" r:id="rId4"/>
    <sheet name="FCF Bridge" sheetId="3" state="visible" r:id="rId5"/>
    <sheet name="WACC Calculator" sheetId="4" state="visible" r:id="rId6"/>
    <sheet name="DCF Valuation" sheetId="5" state="visible" r:id="rId7"/>
    <sheet name="Sensitivity Tabl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<sst xmlns="http://schemas.openxmlformats.org/spreadsheetml/2006/main" count="199" uniqueCount="183">
  <si>
    <t xml:space="preserve">BlackRock, Inc. (NYSE: BLK)</t>
  </si>
  <si>
    <t xml:space="preserve">DCF Financial Model  |  Long Investment Thesis  |  Perplexity Pitch Contest 2026</t>
  </si>
  <si>
    <t xml:space="preserve">Nicholas Hawkins  |  Hawkins Holdings  |  Generated: April 04, 2026</t>
  </si>
  <si>
    <t xml:space="preserve">INVESTMENT THESIS</t>
  </si>
  <si>
    <t xml:space="preserve">BlackRock is the highest-quality capital allocation in the asset management sector for 2026 — a fee-compounding platform at the intersection of indexed investing, private markets, and financial operating-system infrastructure. Trading ~21% below its 52-week high with $14T in AUM and a record $698B in net inflows (FY2025), BLK offers a compelling entry point with 38%+ consensus upside.</t>
  </si>
  <si>
    <t xml:space="preserve">KEY METRICS SNAPSHOT  (FY2025 Actuals)</t>
  </si>
  <si>
    <t xml:space="preserve">Metric</t>
  </si>
  <si>
    <t xml:space="preserve">Value</t>
  </si>
  <si>
    <t xml:space="preserve">Note</t>
  </si>
  <si>
    <t xml:space="preserve">AUM ($T)</t>
  </si>
  <si>
    <t xml:space="preserve">$14.04</t>
  </si>
  <si>
    <t xml:space="preserve">Record AUM; +21.6% YoY</t>
  </si>
  <si>
    <t xml:space="preserve">Revenue ($B)</t>
  </si>
  <si>
    <t xml:space="preserve">$24.22</t>
  </si>
  <si>
    <t xml:space="preserve">+18.7% YoY growth</t>
  </si>
  <si>
    <t xml:space="preserve">Adj. Operating Margin</t>
  </si>
  <si>
    <t xml:space="preserve">44.1%</t>
  </si>
  <si>
    <t xml:space="preserve">Industry-leading</t>
  </si>
  <si>
    <t xml:space="preserve">Adj. EPS</t>
  </si>
  <si>
    <t xml:space="preserve">$48.09</t>
  </si>
  <si>
    <t xml:space="preserve">Beat consensus of $47.35</t>
  </si>
  <si>
    <t xml:space="preserve">Net Inflows ($B)</t>
  </si>
  <si>
    <t xml:space="preserve">$698.3</t>
  </si>
  <si>
    <t xml:space="preserve">Record full-year flows</t>
  </si>
  <si>
    <t xml:space="preserve">Analyst Avg. PT</t>
  </si>
  <si>
    <t xml:space="preserve">$1,300</t>
  </si>
  <si>
    <t xml:space="preserve">Strong Buy; 15 Buys / 2 Holds</t>
  </si>
  <si>
    <t xml:space="preserve">MODEL NAVIGATION</t>
  </si>
  <si>
    <t xml:space="preserve">Sheet</t>
  </si>
  <si>
    <t xml:space="preserve">Tab Code</t>
  </si>
  <si>
    <t xml:space="preserve">Description</t>
  </si>
  <si>
    <t xml:space="preserve">Income Statement</t>
  </si>
  <si>
    <t xml:space="preserve">IS</t>
  </si>
  <si>
    <t xml:space="preserve">FY2022–FY2027E  |  Revenue, Adjusted EBITDA, EPS bridge</t>
  </si>
  <si>
    <t xml:space="preserve">FCF Bridge</t>
  </si>
  <si>
    <t xml:space="preserve">FCF</t>
  </si>
  <si>
    <t xml:space="preserve">NOPAT → Free Cash Flow  |  Working capital &amp; capex</t>
  </si>
  <si>
    <t xml:space="preserve">WACC Calculator</t>
  </si>
  <si>
    <t xml:space="preserve">WACC</t>
  </si>
  <si>
    <t xml:space="preserve">CAPM cost of equity, cost of debt, capital structure</t>
  </si>
  <si>
    <t xml:space="preserve">DCF Valuation</t>
  </si>
  <si>
    <t xml:space="preserve">DCF</t>
  </si>
  <si>
    <t xml:space="preserve">Terminal value, scenario analysis, implied share price</t>
  </si>
  <si>
    <t xml:space="preserve">Sensitivity Tables</t>
  </si>
  <si>
    <t xml:space="preserve">SENS</t>
  </si>
  <si>
    <t xml:space="preserve">WACC vs. terminal growth rate  |  Bear / Base / Bull</t>
  </si>
  <si>
    <t xml:space="preserve">DISCLAIMER: This model is prepared for the Perplexity Pitch Contest and is not financial advice. Sources: BlackRock Q4 2025 Earnings Release (Jan 15, 2026), SEC 10-K filings, StockAnalysis.com, GuruFocus, AlphaSpread, Yahoo Finance consensus estimates.</t>
  </si>
  <si>
    <t xml:space="preserve">BlackRock, Inc. (BLK)  |  Income Statement Summary</t>
  </si>
  <si>
    <t xml:space="preserve">$ in Millions, except per share data  |  Actuals: BlackRock 10-K / Q4 2025 Earnings Release; Estimates: Consensus (StockAnalysis, Yahoo Finance)</t>
  </si>
  <si>
    <t xml:space="preserve">($MM, except EPS)</t>
  </si>
  <si>
    <t xml:space="preserve">FY2022A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</si>
  <si>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</si>
  <si>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</si>
  <si>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</si>
  <si>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</si>
  <si>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</si>
  <si>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CAGR 22–27E</t>
  </si>
  <si>
    <t xml:space="preserve">REVENUE  (GAAP)</t>
  </si>
  <si>
    <t xml:space="preserve">Total Revenue</t>
  </si>
  <si>
    <t xml:space="preserve">  Revenue Growth (YoY)</t>
  </si>
  <si>
    <t xml:space="preserve">N/A</t>
  </si>
  <si>
    <t xml:space="preserve">OPERATING EXPENSES  (GAAP)</t>
  </si>
  <si>
    <t xml:space="preserve">Total Operating Expenses (GAAP)</t>
  </si>
  <si>
    <t xml:space="preserve">Operating Income (GAAP)</t>
  </si>
  <si>
    <t xml:space="preserve">  GAAP Operating Margin</t>
  </si>
  <si>
    <t xml:space="preserve">AS-ADJUSTED OPERATING METRICS  (Non-GAAP, as reported by BLK)</t>
  </si>
  <si>
    <t xml:space="preserve">Adj. Operating Income</t>
  </si>
  <si>
    <t xml:space="preserve">  Adj. Operating Margin</t>
  </si>
  <si>
    <t xml:space="preserve">Depreciation &amp; Amortization</t>
  </si>
  <si>
    <t xml:space="preserve">Adj. EBITDA</t>
  </si>
  <si>
    <t xml:space="preserve">  Adj. EBITDA Margin</t>
  </si>
  <si>
    <t xml:space="preserve">EARNINGS PER SHARE</t>
  </si>
  <si>
    <t xml:space="preserve">GAAP Diluted EPS</t>
  </si>
  <si>
    <t xml:space="preserve">Adj. EPS (Non-GAAP, as reported)</t>
  </si>
  <si>
    <t xml:space="preserve">  YoY Adj. EPS Growth</t>
  </si>
  <si>
    <t xml:space="preserve">Diluted Shares Outstanding (MM)</t>
  </si>
  <si>
    <t xml:space="preserve">Dividends per Share</t>
  </si>
  <si>
    <t xml:space="preserve">ASSETS UNDER MANAGEMENT  ($T)</t>
  </si>
  <si>
    <t xml:space="preserve">Total AUM ($T)</t>
  </si>
  <si>
    <t xml:space="preserve">  AUM Growth (YoY)</t>
  </si>
  <si>
    <t xml:space="preserve">Sources: BlackRock Q4 2025 Earnings Release (Jan 15, 2026); SEC 10-K FY2022–FY2024; StockAnalysis.com (https://stockanalysis.com/stocks/blk/financials/); Yahoo Finance / Barchart consensus estimates (Feb 2026). Estimates marked in blue are sourced from analyst consensus or derived from consensus revenue and historical margin trends.</t>
  </si>
  <si>
    <t xml:space="preserve">BlackRock, Inc. (BLK)  |  Free Cash Flow Bridge</t>
  </si>
  <si>
    <t xml:space="preserve">$ in Millions  |  NOPAT → Unlevered FCF → Equity FCF</t>
  </si>
  <si>
    <t xml:space="preserve">($MM)</t>
  </si>
  <si>
    <t xml:space="preserve">NOPAT BRIDGE  (Net Operating Profit After Tax)</t>
  </si>
  <si>
    <t xml:space="preserve">  Less: D&amp;A (add-back later)</t>
  </si>
  <si>
    <t xml:space="preserve">Adj. EBIT</t>
  </si>
  <si>
    <t xml:space="preserve">  Effective Tax Rate (Assumption)</t>
  </si>
  <si>
    <t xml:space="preserve">NOPAT  (Adj. EBIT × (1 - Tax Rate))</t>
  </si>
  <si>
    <t xml:space="preserve">FREE CASH FLOW TO FIRM  (FCFF / Unlevered FCF)</t>
  </si>
  <si>
    <t xml:space="preserve">NOPAT</t>
  </si>
  <si>
    <t xml:space="preserve">  Add: D&amp;A</t>
  </si>
  <si>
    <t xml:space="preserve">  Add: Stock-Based Compensation</t>
  </si>
  <si>
    <t xml:space="preserve">  Change in Net Working Capital</t>
  </si>
  <si>
    <t xml:space="preserve">  Less: Capital Expenditures</t>
  </si>
  <si>
    <t xml:space="preserve">Unlevered FCF  (FCFF)</t>
  </si>
  <si>
    <t xml:space="preserve">  FCFF Margin</t>
  </si>
  <si>
    <t xml:space="preserve">FREE CASH FLOW TO EQUITY  (FCFE)</t>
  </si>
  <si>
    <t xml:space="preserve">  Less: Net Interest Expense (post-tax)</t>
  </si>
  <si>
    <t xml:space="preserve">  Net Debt Repayment / (Issuance)</t>
  </si>
  <si>
    <t xml:space="preserve">Free Cash Flow to Equity  (FCFE)</t>
  </si>
  <si>
    <t xml:space="preserve">Sources: BlackRock Q4 2025 Earnings Release; SEC 10-K FY2022–FY2024; StockAnalysis.com cash flow data (https://stockanalysis.com/stocks/blk/financials/cash-flow-statement/). FY2025 capex = $375M (StockTitan, sourced from SEC filings). FY2025 FCF estimated at ~$3.55B (SimplyWallSt). FY2026–27E estimates derived from consensus revenue and historical FCF conversion rates.</t>
  </si>
  <si>
    <t xml:space="preserve">BlackRock, Inc. (BLK)  |  WACC Calculation</t>
  </si>
  <si>
    <t xml:space="preserve">CAPM-based Cost of Equity | Capital Structure-Weighted  |  Three Scenarios: Bear / Base / Bull</t>
  </si>
  <si>
    <t xml:space="preserve">Parameter</t>
  </si>
  <si>
    <t xml:space="preserve">BASE CASE</t>
  </si>
  <si>
    <t xml:space="preserve">BEAR CASE</t>
  </si>
  <si>
    <t xml:space="preserve">BULL CASE</t>
  </si>
  <si>
    <t xml:space="preserve">Source / Note</t>
  </si>
  <si>
    <t xml:space="preserve">COST OF EQUITY  (CAPM)</t>
  </si>
  <si>
    <t xml:space="preserve">Risk-Free Rate (10Y UST Yield)</t>
  </si>
  <si>
    <t xml:space="preserve">10Y US Treasury yield ~4.3% (April 2026 estimate)</t>
  </si>
  <si>
    <t xml:space="preserve">Equity Beta (Levered)</t>
  </si>
  <si>
    <t xml:space="preserve">Base: BLK plan doc; Bear: GuruFocus 1.36; Bull: AlphaSpread 0.82 (rounded up for conservatism)</t>
  </si>
  <si>
    <t xml:space="preserve">Equity Risk Premium (ERP)</t>
  </si>
  <si>
    <t xml:space="preserve">Base: BLK implementation plan 5.5%; Bear: 6.0% (GuruFocus); Bull: 5.0% (AlphaSpread 4.18% + premium)</t>
  </si>
  <si>
    <t xml:space="preserve">Cost of Equity  =  Rf + β × ERP</t>
  </si>
  <si>
    <t xml:space="preserve">CAPM formula</t>
  </si>
  <si>
    <t xml:space="preserve">COST OF DEBT</t>
  </si>
  <si>
    <t xml:space="preserve">Pre-Tax Cost of Debt</t>
  </si>
  <si>
    <t xml:space="preserve">TTM interest expense $612M / avg book debt $13.2B ≈ 4.63% (GuruFocus); AlphaSpread 4.33%; Bear assumes spread widening</t>
  </si>
  <si>
    <t xml:space="preserve">Marginal Tax Rate</t>
  </si>
  <si>
    <t xml:space="preserve">BLK effective tax rate FY2024 21.5%; FY2025 ~21.4%</t>
  </si>
  <si>
    <t xml:space="preserve">After-Tax Cost of Debt  =  Kd × (1 – t)</t>
  </si>
  <si>
    <t xml:space="preserve">After-tax cost</t>
  </si>
  <si>
    <t xml:space="preserve">CAPITAL STRUCTURE WEIGHTS</t>
  </si>
  <si>
    <t xml:space="preserve">Market Capitalization  ($MM)</t>
  </si>
  <si>
    <t xml:space="preserve">Base: ~$155B at ~$970/share × 159MM shares; Bear: lower valuation; Bull: re-rate</t>
  </si>
  <si>
    <t xml:space="preserve">Book Value of Debt  ($MM)</t>
  </si>
  <si>
    <t xml:space="preserve">Long-term debt $12.8B per Q4 2025 balance sheet</t>
  </si>
  <si>
    <t xml:space="preserve">Total Capital  (E + D)</t>
  </si>
  <si>
    <t xml:space="preserve">Weight of Equity  (E / (E+D))</t>
  </si>
  <si>
    <t xml:space="preserve">Weight of Debt  (D / (E+D))</t>
  </si>
  <si>
    <t xml:space="preserve">WACC  =  (Ke × We) + (Kd × (1–t) × Wd)</t>
  </si>
  <si>
    <t xml:space="preserve">Core discount rate for DCF valuation</t>
  </si>
  <si>
    <t xml:space="preserve">Sources: GuruFocus WACC 12.05% (Mar 2026) — https://www.gurufocus.com/term/wacc/BLK; AlphaSpread WACC 7.16%, Ke 7.38%, beta 0.82 — https://www.alphaspread.com/security/nyse/blk/discount-rate; BLK Implementation Plan (WACC inputs: Rf ~4.3%, ERP ~5.5%, beta 1.20); BlackRock Q4 2025 Balance Sheet for debt ($12.8B) and equity values.</t>
  </si>
  <si>
    <t xml:space="preserve">BlackRock, Inc. (BLK)  |  DCF Valuation  |  Terminal Value (Perpetuity Growth Method)</t>
  </si>
  <si>
    <t xml:space="preserve">Three-scenario intrinsic value analysis  |  $ in Millions except per share</t>
  </si>
  <si>
    <t xml:space="preserve">Parameter  /  Output</t>
  </si>
  <si>
    <t xml:space="preserve">Notes / Assumptions</t>
  </si>
  <si>
    <t xml:space="preserve">EXPLICIT FORECAST PERIOD  (FY2026E–FY2027E  +  2-Year Extension)</t>
  </si>
  <si>
    <t xml:space="preserve">WACC (Discount Rate)</t>
  </si>
  <si>
    <t xml:space="preserve">Linked to WACC Calculator sheet scenarios</t>
  </si>
  <si>
    <t xml:space="preserve">Terminal Growth Rate (g)</t>
  </si>
  <si>
    <t xml:space="preserve">Base: 2.5% (AUM compounding trend); Bear: 2.0%; Bull: 3.25% (Aladdin/alts growth)</t>
  </si>
  <si>
    <t xml:space="preserve">Projected FCFF by Year</t>
  </si>
  <si>
    <t xml:space="preserve">  FY2026E — Projected FCFF</t>
  </si>
  <si>
    <t xml:space="preserve">  FY2027E — Projected FCFF</t>
  </si>
  <si>
    <t xml:space="preserve">  FY2028E — Projected FCFF</t>
  </si>
  <si>
    <t xml:space="preserve">  FY2029E — Projected FCFF</t>
  </si>
  <si>
    <t xml:space="preserve">PV of Projected FCFF  (Discounted at WACC)</t>
  </si>
  <si>
    <t xml:space="preserve">  PV of FY2026E FCFF</t>
  </si>
  <si>
    <t xml:space="preserve">  PV of FY2027E FCFF</t>
  </si>
  <si>
    <t xml:space="preserve">  PV of FY2028E FCFF</t>
  </si>
  <si>
    <t xml:space="preserve">  PV of FY2029E FCFF</t>
  </si>
  <si>
    <t xml:space="preserve">Sum of PV (Explicit Period)</t>
  </si>
  <si>
    <t xml:space="preserve">TERMINAL VALUE  (Perpetuity Growth Method:  TV = FCFF_terminal × (1+g) / (WACC – g))</t>
  </si>
  <si>
    <t xml:space="preserve">Terminal Year FCFF  (FY2029E Base)</t>
  </si>
  <si>
    <t xml:space="preserve">Uses FY2029E FCFF as terminal year base</t>
  </si>
  <si>
    <t xml:space="preserve">Terminal Value  =  FCFF × (1+g) / (WACC – g)</t>
  </si>
  <si>
    <t xml:space="preserve">PV of Terminal Value  (Discounted 4 Years)</t>
  </si>
  <si>
    <t xml:space="preserve">  TV as % of Enterprise Value</t>
  </si>
  <si>
    <t xml:space="preserve">ENTERPRISE VALUE → EQUITY VALUE → INTRINSIC VALUE PER SHARE</t>
  </si>
  <si>
    <t xml:space="preserve">Enterprise Value  (Sum of PVs + PV of TV)</t>
  </si>
  <si>
    <t xml:space="preserve">  Less: Net Debt (Debt – Cash, $MM)</t>
  </si>
  <si>
    <t xml:space="preserve">Debt $12.8B - Cash $11.5B = ~$1.3B net debt (Q4 2025)</t>
  </si>
  <si>
    <t xml:space="preserve">Equity Value</t>
  </si>
  <si>
    <t xml:space="preserve">  Diluted Shares Outstanding (MM)</t>
  </si>
  <si>
    <t xml:space="preserve">~159MM diluted shares (FY2026E consensus)</t>
  </si>
  <si>
    <t xml:space="preserve">Intrinsic Value Per Share</t>
  </si>
  <si>
    <t xml:space="preserve">  Current Share Price (April 2026)</t>
  </si>
  <si>
    <t xml:space="preserve">~$958 BLK (April 3, 2026 reference)</t>
  </si>
  <si>
    <t xml:space="preserve">  Implied Upside / (Downside)</t>
  </si>
  <si>
    <t xml:space="preserve">Analyst Consensus Reference: Avg. PT $1,300 (StockAnalysis, 16 analysts, Strong Buy) | High PT $1,550 | Low PT $1,200 | BLK plan target $1,325.90</t>
  </si>
  <si>
    <t xml:space="preserve">Sources: FCF projections from internal model (FCF Bridge sheet). WACC from WACC Calculator sheet. Terminal growth rate reflects BLK's 3–5% organic base fee growth target and AUM compounding dynamics. Bull case TV uses 3.25% to reflect Aladdin/alternatives platform optionality. Net debt per BlackRock Q4 2025 Balance Sheet. Shares: Yahoo Finance consensus FY2026E. Analyst PTs: StockAnalysis.com (https://stockanalysis.com/stocks/blk/forecast/)</t>
  </si>
  <si>
    <t xml:space="preserve">BlackRock, Inc. (BLK)  |  Sensitivity Tables  |  WACC vs. Terminal Growth Rate → Intrinsic Value Per Share</t>
  </si>
  <si>
    <t xml:space="preserve">Each cell = Intrinsic Value Per Share ($)  |  Rows = WACC  |  Columns = Terminal Growth Rate (g)  |  Three scenarios side-by-side</t>
  </si>
  <si>
    <t xml:space="preserve">BEAR CASE  —  Intrinsic Value Per Share ($)</t>
  </si>
  <si>
    <t xml:space="preserve">WACC \ g →</t>
  </si>
  <si>
    <t xml:space="preserve">BASE CASE  —  Intrinsic Value Per Share ($)</t>
  </si>
  <si>
    <t xml:space="preserve">BULL CASE  —  Intrinsic Value Per Share ($)</t>
  </si>
  <si>
    <t xml:space="preserve">■ Color Scale: Red = lowest IV  |  Yellow = median  |  Green = highest IV (per-table basis)
Base Case WACC = 9.5%, g = 2.5% → Highlighted cell represents central valuation estimate
Bear WACC = 11.0%, g = 2.0%  |  Bull WACC = 8.0%, g = 3.25%</t>
  </si>
  <si>
    <t xml:space="preserve">Methodology: Each cell independently computes intrinsic value per share using the perpetuity growth DCF. FCF projections: Bear=[3800,4100,4300,4500]$M; Base=[5200,5800,6200,6600]$M; Bull=[6800,7800,8500,9200]$M (FY26–FY29). Terminal year = FY2029E FCFF. Net debt = $1,300M. Diluted shares = 159M.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</si>
</sst>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;&quot;($&quot;#,##0\);\-"/>
    <numFmt numFmtId="166" formatCode="0.0%;\(0.0%\);\-"/>
    <numFmt numFmtId="167" formatCode="\$#,##0.00;&quot;($&quot;#,##0.00\);\-"/>
    <numFmt numFmtId="168" formatCode="#,##0;\(#,##0\);\-"/>
    <numFmt numFmtId="169" formatCode="\$#,##0.00"/>
    <numFmt numFmtId="170" formatCode="0.00%;\(0.00%\);\-"/>
    <numFmt numFmtId="171" formatCode="\$#,##0"/>
    <numFmt numFmtId="172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0D1B3E"/>
      <name val="Calibri"/>
      <family val="0"/>
      <charset val="1"/>
    </font>
    <font>
      <sz val="13"/>
      <color rgb="FF595959"/>
      <name val="Calibri"/>
      <family val="0"/>
      <charset val="1"/>
    </font>
    <font>
      <sz val="10"/>
      <color rgb="FF595959"/>
      <name val="Calibri"/>
      <family val="0"/>
      <charset val="1"/>
    </font>
    <font>
      <b val="true"/>
      <sz val="11"/>
      <color rgb="FF0D1B3E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color rgb="FF0D1B3E"/>
      <name val="Calibri"/>
      <family val="0"/>
      <charset val="1"/>
    </font>
    <font>
      <u val="single"/>
      <sz val="10"/>
      <color rgb="FF0000FF"/>
      <name val="Calibri"/>
      <family val="0"/>
      <charset val="1"/>
    </font>
    <font>
      <i val="true"/>
      <sz val="8"/>
      <color rgb="FF595959"/>
      <name val="Calibri"/>
      <family val="0"/>
      <charset val="1"/>
    </font>
    <font>
      <b val="true"/>
      <sz val="14"/>
      <color rgb="FF0D1B3E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6400"/>
      <name val="Calibri"/>
      <family val="0"/>
      <charset val="1"/>
    </font>
    <font>
      <b val="true"/>
      <sz val="12"/>
      <color rgb="FF0D1B3E"/>
      <name val="Calibri"/>
      <family val="0"/>
      <charset val="1"/>
    </font>
    <font>
      <b val="true"/>
      <sz val="9"/>
      <color rgb="FF0D1B3E"/>
      <name val="Calibri"/>
      <family val="0"/>
      <charset val="1"/>
    </font>
    <font>
      <b val="true"/>
      <sz val="12"/>
      <color rgb="FFC00000"/>
      <name val="Calibri"/>
      <family val="0"/>
      <charset val="1"/>
    </font>
    <font>
      <b val="true"/>
      <sz val="12"/>
      <color rgb="FF006400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name val="Calibri"/>
      <family val="0"/>
      <charset val="1"/>
    </font>
    <font>
      <sz val="9"/>
      <color rgb="FF595959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8A84B"/>
        <bgColor rgb="FFFF9900"/>
      </patternFill>
    </fill>
    <fill>
      <patternFill patternType="solid">
        <fgColor rgb="FFF2F2F2"/>
        <bgColor rgb="FFF5EDD0"/>
      </patternFill>
    </fill>
    <fill>
      <patternFill patternType="solid">
        <fgColor rgb="FF0D1B3E"/>
        <bgColor rgb="FF003300"/>
      </patternFill>
    </fill>
    <fill>
      <patternFill patternType="solid">
        <fgColor rgb="FF1A3A6B"/>
        <bgColor rgb="FF333399"/>
      </patternFill>
    </fill>
    <fill>
      <patternFill patternType="solid">
        <fgColor rgb="FF8B0000"/>
        <bgColor rgb="FF800000"/>
      </patternFill>
    </fill>
    <fill>
      <patternFill patternType="solid">
        <fgColor rgb="FF006400"/>
        <bgColor rgb="FF003300"/>
      </patternFill>
    </fill>
    <fill>
      <patternFill patternType="solid">
        <fgColor rgb="FFF5EDD0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2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70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1" fontId="20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21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8" borderId="0" xfId="0" applyFont="true" applyBorder="true" applyAlignment="true" applyProtection="false">
      <alignment horizontal="general" vertical="bottom" textRotation="0" wrapText="true" indent="1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22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EDD0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C8A84B"/>
      <rgbColor rgb="FF1A3A6B"/>
      <rgbColor rgb="FF339966"/>
      <rgbColor rgb="FF003300"/>
      <rgbColor rgb="FF333300"/>
      <rgbColor rgb="FF993300"/>
      <rgbColor rgb="FF993366"/>
      <rgbColor rgb="FF333399"/>
      <rgbColor rgb="FF0D1B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13" min="3" style="0" width="15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24.75" hidden="false" customHeight="tru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24.75" hidden="false" customHeight="tru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9.5" hidden="false" customHeight="true" outlineLevel="0" collapsed="false">
      <c r="B5" s="2" t="s">
        <v>1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5" hidden="false" customHeight="false" outlineLevel="0" collapsed="false"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3.75" hidden="false" customHeight="true" outlineLevel="0" collapsed="false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9" customFormat="false" ht="15.75" hidden="false" customHeight="true" outlineLevel="0" collapsed="false">
      <c r="B9" s="5" t="s">
        <v>3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customFormat="false" ht="15.75" hidden="false" customHeight="true" outlineLevel="0" collapsed="false">
      <c r="B10" s="6" t="s">
        <v>4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customFormat="false" ht="15.75" hidden="false" customHeight="true" outlineLevel="0" collapsed="false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customFormat="false" ht="15.75" hidden="false" customHeight="true" outlineLevel="0" collapsed="false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customFormat="false" ht="15.75" hidden="false" customHeight="true" outlineLevel="0" collapsed="false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5" customFormat="false" ht="6" hidden="false" customHeight="true" outlineLevel="0" collapsed="false"/>
    <row r="16" customFormat="false" ht="18" hidden="false" customHeight="true" outlineLevel="0" collapsed="false">
      <c r="B16" s="7" t="s">
        <v>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customFormat="false" ht="15.75" hidden="false" customHeight="true" outlineLevel="0" collapsed="false">
      <c r="B17" s="8" t="s">
        <v>6</v>
      </c>
      <c r="C17" s="8" t="s">
        <v>7</v>
      </c>
      <c r="D17" s="9" t="s">
        <v>8</v>
      </c>
      <c r="E17" s="9"/>
      <c r="F17" s="9"/>
      <c r="G17" s="9"/>
      <c r="H17" s="9"/>
      <c r="I17" s="9"/>
      <c r="J17" s="9"/>
      <c r="K17" s="9"/>
      <c r="L17" s="9"/>
      <c r="M17" s="9"/>
    </row>
    <row r="18" customFormat="false" ht="15" hidden="false" customHeight="true" outlineLevel="0" collapsed="false">
      <c r="B18" s="10" t="s">
        <v>9</v>
      </c>
      <c r="C18" s="11" t="s">
        <v>10</v>
      </c>
      <c r="D18" s="12" t="s">
        <v>11</v>
      </c>
      <c r="E18" s="12"/>
      <c r="F18" s="12"/>
      <c r="G18" s="12"/>
      <c r="H18" s="12"/>
      <c r="I18" s="12"/>
      <c r="J18" s="12"/>
      <c r="K18" s="12"/>
      <c r="L18" s="12"/>
      <c r="M18" s="12"/>
    </row>
    <row r="19" customFormat="false" ht="15" hidden="false" customHeight="true" outlineLevel="0" collapsed="false">
      <c r="B19" s="13" t="s">
        <v>12</v>
      </c>
      <c r="C19" s="14" t="s">
        <v>13</v>
      </c>
      <c r="D19" s="15" t="s">
        <v>14</v>
      </c>
      <c r="E19" s="15"/>
      <c r="F19" s="15"/>
      <c r="G19" s="15"/>
      <c r="H19" s="15"/>
      <c r="I19" s="15"/>
      <c r="J19" s="15"/>
      <c r="K19" s="15"/>
      <c r="L19" s="15"/>
      <c r="M19" s="15"/>
    </row>
    <row r="20" customFormat="false" ht="15" hidden="false" customHeight="true" outlineLevel="0" collapsed="false">
      <c r="B20" s="10" t="s">
        <v>15</v>
      </c>
      <c r="C20" s="11" t="s">
        <v>16</v>
      </c>
      <c r="D20" s="12" t="s">
        <v>17</v>
      </c>
      <c r="E20" s="12"/>
      <c r="F20" s="12"/>
      <c r="G20" s="12"/>
      <c r="H20" s="12"/>
      <c r="I20" s="12"/>
      <c r="J20" s="12"/>
      <c r="K20" s="12"/>
      <c r="L20" s="12"/>
      <c r="M20" s="12"/>
    </row>
    <row r="21" customFormat="false" ht="15" hidden="false" customHeight="true" outlineLevel="0" collapsed="false">
      <c r="B21" s="13" t="s">
        <v>18</v>
      </c>
      <c r="C21" s="14" t="s">
        <v>19</v>
      </c>
      <c r="D21" s="15" t="s">
        <v>20</v>
      </c>
      <c r="E21" s="15"/>
      <c r="F21" s="15"/>
      <c r="G21" s="15"/>
      <c r="H21" s="15"/>
      <c r="I21" s="15"/>
      <c r="J21" s="15"/>
      <c r="K21" s="15"/>
      <c r="L21" s="15"/>
      <c r="M21" s="15"/>
    </row>
    <row r="22" customFormat="false" ht="15" hidden="false" customHeight="true" outlineLevel="0" collapsed="false">
      <c r="B22" s="10" t="s">
        <v>21</v>
      </c>
      <c r="C22" s="11" t="s">
        <v>22</v>
      </c>
      <c r="D22" s="12" t="s">
        <v>23</v>
      </c>
      <c r="E22" s="12"/>
      <c r="F22" s="12"/>
      <c r="G22" s="12"/>
      <c r="H22" s="12"/>
      <c r="I22" s="12"/>
      <c r="J22" s="12"/>
      <c r="K22" s="12"/>
      <c r="L22" s="12"/>
      <c r="M22" s="12"/>
    </row>
    <row r="23" customFormat="false" ht="15" hidden="false" customHeight="true" outlineLevel="0" collapsed="false">
      <c r="B23" s="13" t="s">
        <v>24</v>
      </c>
      <c r="C23" s="14" t="s">
        <v>25</v>
      </c>
      <c r="D23" s="15" t="s">
        <v>26</v>
      </c>
      <c r="E23" s="15"/>
      <c r="F23" s="15"/>
      <c r="G23" s="15"/>
      <c r="H23" s="15"/>
      <c r="I23" s="15"/>
      <c r="J23" s="15"/>
      <c r="K23" s="15"/>
      <c r="L23" s="15"/>
      <c r="M23" s="15"/>
    </row>
    <row r="26" customFormat="false" ht="6" hidden="false" customHeight="true" outlineLevel="0" collapsed="false"/>
    <row r="27" customFormat="false" ht="18" hidden="false" customHeight="true" outlineLevel="0" collapsed="false">
      <c r="B27" s="7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</row>
    <row r="28" customFormat="false" ht="15.75" hidden="false" customHeight="true" outlineLevel="0" collapsed="false">
      <c r="B28" s="8" t="s">
        <v>28</v>
      </c>
      <c r="C28" s="8" t="s">
        <v>29</v>
      </c>
      <c r="D28" s="9" t="s">
        <v>30</v>
      </c>
      <c r="E28" s="9"/>
      <c r="F28" s="9"/>
      <c r="G28" s="9"/>
      <c r="H28" s="9"/>
      <c r="I28" s="9"/>
      <c r="J28" s="9"/>
      <c r="K28" s="9"/>
      <c r="L28" s="9"/>
      <c r="M28" s="9"/>
    </row>
    <row r="29" customFormat="false" ht="15" hidden="false" customHeight="true" outlineLevel="0" collapsed="false">
      <c r="B29" s="16" t="s">
        <v>31</v>
      </c>
      <c r="C29" s="11" t="s">
        <v>32</v>
      </c>
      <c r="D29" s="12" t="s">
        <v>33</v>
      </c>
      <c r="E29" s="12"/>
      <c r="F29" s="12"/>
      <c r="G29" s="12"/>
      <c r="H29" s="12"/>
      <c r="I29" s="12"/>
      <c r="J29" s="12"/>
      <c r="K29" s="12"/>
      <c r="L29" s="12"/>
      <c r="M29" s="12"/>
    </row>
    <row r="30" customFormat="false" ht="15" hidden="false" customHeight="true" outlineLevel="0" collapsed="false">
      <c r="B30" s="17" t="s">
        <v>34</v>
      </c>
      <c r="C30" s="14" t="s">
        <v>35</v>
      </c>
      <c r="D30" s="15" t="s">
        <v>36</v>
      </c>
      <c r="E30" s="15"/>
      <c r="F30" s="15"/>
      <c r="G30" s="15"/>
      <c r="H30" s="15"/>
      <c r="I30" s="15"/>
      <c r="J30" s="15"/>
      <c r="K30" s="15"/>
      <c r="L30" s="15"/>
      <c r="M30" s="15"/>
    </row>
    <row r="31" customFormat="false" ht="15" hidden="false" customHeight="true" outlineLevel="0" collapsed="false">
      <c r="B31" s="16" t="s">
        <v>37</v>
      </c>
      <c r="C31" s="11" t="s">
        <v>38</v>
      </c>
      <c r="D31" s="12" t="s">
        <v>39</v>
      </c>
      <c r="E31" s="12"/>
      <c r="F31" s="12"/>
      <c r="G31" s="12"/>
      <c r="H31" s="12"/>
      <c r="I31" s="12"/>
      <c r="J31" s="12"/>
      <c r="K31" s="12"/>
      <c r="L31" s="12"/>
      <c r="M31" s="12"/>
    </row>
    <row r="32" customFormat="false" ht="15" hidden="false" customHeight="true" outlineLevel="0" collapsed="false">
      <c r="B32" s="17" t="s">
        <v>40</v>
      </c>
      <c r="C32" s="14" t="s">
        <v>41</v>
      </c>
      <c r="D32" s="15" t="s">
        <v>42</v>
      </c>
      <c r="E32" s="15"/>
      <c r="F32" s="15"/>
      <c r="G32" s="15"/>
      <c r="H32" s="15"/>
      <c r="I32" s="15"/>
      <c r="J32" s="15"/>
      <c r="K32" s="15"/>
      <c r="L32" s="15"/>
      <c r="M32" s="15"/>
    </row>
    <row r="33" customFormat="false" ht="15" hidden="false" customHeight="true" outlineLevel="0" collapsed="false">
      <c r="B33" s="16" t="s">
        <v>43</v>
      </c>
      <c r="C33" s="11" t="s">
        <v>44</v>
      </c>
      <c r="D33" s="12" t="s">
        <v>45</v>
      </c>
      <c r="E33" s="12"/>
      <c r="F33" s="12"/>
      <c r="G33" s="12"/>
      <c r="H33" s="12"/>
      <c r="I33" s="12"/>
      <c r="J33" s="12"/>
      <c r="K33" s="12"/>
      <c r="L33" s="12"/>
      <c r="M33" s="12"/>
    </row>
    <row r="37" customFormat="false" ht="13.5" hidden="false" customHeight="true" outlineLevel="0" collapsed="false">
      <c r="B37" s="18" t="s">
        <v>46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customFormat="false" ht="13.5" hidden="false" customHeight="true" outlineLevel="0" collapsed="false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</row>
  </sheetData>
  <mergeCells count="21">
    <mergeCell ref="B2:M4"/>
    <mergeCell ref="B5:M5"/>
    <mergeCell ref="B6:M6"/>
    <mergeCell ref="B9:M9"/>
    <mergeCell ref="B10:M13"/>
    <mergeCell ref="B16:M16"/>
    <mergeCell ref="D17:M17"/>
    <mergeCell ref="D18:M18"/>
    <mergeCell ref="D19:M19"/>
    <mergeCell ref="D20:M20"/>
    <mergeCell ref="D21:M21"/>
    <mergeCell ref="D22:M22"/>
    <mergeCell ref="D23:M23"/>
    <mergeCell ref="B27:M27"/>
    <mergeCell ref="D28:M28"/>
    <mergeCell ref="D29:M29"/>
    <mergeCell ref="D30:M30"/>
    <mergeCell ref="D31:M31"/>
    <mergeCell ref="D32:M32"/>
    <mergeCell ref="D33:M33"/>
    <mergeCell ref="B37:M38"/>
  </mergeCells>
  <hyperlinks>
    <hyperlink ref="B29" location="'Income Statement'!B2" display="Income Statement"/>
    <hyperlink ref="B30" location="'FCF Bridge'!B2" display="FCF Bridge"/>
    <hyperlink ref="B31" location="'WACC Calculator'!B2" display="WACC Calculator"/>
    <hyperlink ref="B32" location="'DCF Valuation'!B2" display="DCF Valuation"/>
    <hyperlink ref="B33" location="'Sensitivity Tables'!B2" display="Sensitivity Tabl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8" min="3" style="0" width="14"/>
    <col collapsed="false" customWidth="true" hidden="false" outlineLevel="0" max="9" min="9" style="0" width="16"/>
  </cols>
  <sheetData>
    <row r="2" customFormat="false" ht="24" hidden="false" customHeight="true" outlineLevel="0" collapsed="false">
      <c r="B2" s="19" t="s">
        <v>47</v>
      </c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B3" s="20" t="s">
        <v>48</v>
      </c>
      <c r="C3" s="20"/>
      <c r="D3" s="20"/>
      <c r="E3" s="20"/>
      <c r="F3" s="20"/>
      <c r="G3" s="20"/>
      <c r="H3" s="20"/>
      <c r="I3" s="20"/>
    </row>
    <row r="4" customFormat="false" ht="3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</row>
    <row r="5" customFormat="false" ht="19.5" hidden="false" customHeight="true" outlineLevel="0" collapsed="false">
      <c r="B5" s="8" t="s">
        <v>49</v>
      </c>
      <c r="C5" s="8" t="s">
        <v>50</v>
      </c>
      <c r="D5" s="8" t="s">
        <v>51</v>
      </c>
      <c r="E5" s="8" t="s">
        <v>52</v>
      </c>
      <c r="F5" s="8" t="s">
        <v>53</v>
      </c>
      <c r="G5" s="21" t="s">
        <v>54</v>
      </c>
      <c r="H5" s="21" t="s">
        <v>55</v>
      </c>
      <c r="I5" s="8" t="s">
        <v>56</v>
      </c>
    </row>
    <row r="6" customFormat="false" ht="18" hidden="false" customHeight="true" outlineLevel="0" collapsed="false">
      <c r="B6" s="7" t="s">
        <v>57</v>
      </c>
      <c r="C6" s="7"/>
      <c r="D6" s="7"/>
      <c r="E6" s="7"/>
      <c r="F6" s="7"/>
      <c r="G6" s="7"/>
      <c r="H6" s="7"/>
      <c r="I6" s="7"/>
    </row>
    <row r="7" customFormat="false" ht="15" hidden="false" customHeight="true" outlineLevel="0" collapsed="false">
      <c r="B7" s="22" t="s">
        <v>58</v>
      </c>
      <c r="C7" s="23" t="n">
        <v>17873</v>
      </c>
      <c r="D7" s="23" t="n">
        <v>17859</v>
      </c>
      <c r="E7" s="23" t="n">
        <v>20407</v>
      </c>
      <c r="F7" s="23" t="n">
        <v>24219</v>
      </c>
      <c r="G7" s="23" t="n">
        <v>28480</v>
      </c>
      <c r="H7" s="23" t="n">
        <v>31490</v>
      </c>
      <c r="I7" s="24" t="n">
        <f aca="false">(H7/C7)^(1/5)-1</f>
        <v>0.119940734386904</v>
      </c>
    </row>
    <row r="8" customFormat="false" ht="15" hidden="false" customHeight="true" outlineLevel="0" collapsed="false">
      <c r="B8" s="25" t="s">
        <v>59</v>
      </c>
      <c r="C8" s="26" t="s">
        <v>60</v>
      </c>
      <c r="D8" s="27" t="n">
        <f aca="false">(D7-C7)/C7</f>
        <v>-0.000783304425670005</v>
      </c>
      <c r="E8" s="27" t="n">
        <f aca="false">(E7-D7)/D7</f>
        <v>0.142673161991153</v>
      </c>
      <c r="F8" s="27" t="n">
        <f aca="false">(F7-E7)/E7</f>
        <v>0.186798647522909</v>
      </c>
      <c r="G8" s="27" t="n">
        <f aca="false">(G7-F7)/F7</f>
        <v>0.175936248400017</v>
      </c>
      <c r="H8" s="27" t="n">
        <f aca="false">(H7-G7)/G7</f>
        <v>0.105688202247191</v>
      </c>
    </row>
    <row r="9" customFormat="false" ht="18" hidden="false" customHeight="true" outlineLevel="0" collapsed="false">
      <c r="B9" s="7" t="s">
        <v>61</v>
      </c>
      <c r="C9" s="7"/>
      <c r="D9" s="7"/>
      <c r="E9" s="7"/>
      <c r="F9" s="7"/>
      <c r="G9" s="7"/>
      <c r="H9" s="7"/>
      <c r="I9" s="7"/>
    </row>
    <row r="10" customFormat="false" ht="15" hidden="false" customHeight="true" outlineLevel="0" collapsed="false">
      <c r="B10" s="22" t="s">
        <v>62</v>
      </c>
      <c r="C10" s="23" t="n">
        <v>11394</v>
      </c>
      <c r="D10" s="23" t="n">
        <v>11513</v>
      </c>
      <c r="E10" s="23" t="n">
        <v>12729</v>
      </c>
      <c r="F10" s="23" t="n">
        <v>17184</v>
      </c>
      <c r="G10" s="23" t="n">
        <v>17525</v>
      </c>
      <c r="H10" s="23" t="n">
        <v>19524</v>
      </c>
      <c r="I10" s="24" t="n">
        <f aca="false">(H10/C10)^(1/5)-1</f>
        <v>0.113726406113784</v>
      </c>
    </row>
    <row r="11" customFormat="false" ht="15" hidden="false" customHeight="true" outlineLevel="0" collapsed="false">
      <c r="B11" s="28" t="s">
        <v>63</v>
      </c>
      <c r="C11" s="29" t="n">
        <f aca="false">C7-C10</f>
        <v>6479</v>
      </c>
      <c r="D11" s="29" t="n">
        <f aca="false">D7-D10</f>
        <v>6346</v>
      </c>
      <c r="E11" s="29" t="n">
        <f aca="false">E7-E10</f>
        <v>7678</v>
      </c>
      <c r="F11" s="29" t="n">
        <f aca="false">F7-F10</f>
        <v>7035</v>
      </c>
      <c r="G11" s="29" t="n">
        <f aca="false">G7-G10</f>
        <v>10955</v>
      </c>
      <c r="H11" s="29" t="n">
        <f aca="false">H7-H10</f>
        <v>11966</v>
      </c>
      <c r="I11" s="24" t="n">
        <f aca="false">(H11/C11)^(1/5)-1</f>
        <v>0.130545911401076</v>
      </c>
    </row>
    <row r="12" customFormat="false" ht="15" hidden="false" customHeight="true" outlineLevel="0" collapsed="false">
      <c r="B12" s="25" t="s">
        <v>64</v>
      </c>
      <c r="C12" s="24" t="n">
        <f aca="false">C11/C7</f>
        <v>0.362502098136854</v>
      </c>
      <c r="D12" s="24" t="n">
        <f aca="false">D11/D7</f>
        <v>0.355339044739347</v>
      </c>
      <c r="E12" s="24" t="n">
        <f aca="false">E11/E7</f>
        <v>0.376243445876415</v>
      </c>
      <c r="F12" s="24" t="n">
        <f aca="false">F11/F7</f>
        <v>0.290474420909204</v>
      </c>
      <c r="G12" s="24" t="n">
        <f aca="false">G11/G7</f>
        <v>0.384655898876405</v>
      </c>
      <c r="H12" s="24" t="n">
        <f aca="false">H11/H7</f>
        <v>0.37999364877739</v>
      </c>
    </row>
    <row r="13" customFormat="false" ht="3.75" hidden="false" customHeight="true" outlineLevel="0" collapsed="false"/>
    <row r="14" customFormat="false" ht="18" hidden="false" customHeight="true" outlineLevel="0" collapsed="false">
      <c r="B14" s="7" t="s">
        <v>65</v>
      </c>
      <c r="C14" s="7"/>
      <c r="D14" s="7"/>
      <c r="E14" s="7"/>
      <c r="F14" s="7"/>
      <c r="G14" s="7"/>
      <c r="H14" s="7"/>
      <c r="I14" s="7"/>
    </row>
    <row r="15" customFormat="false" ht="15" hidden="false" customHeight="true" outlineLevel="0" collapsed="false">
      <c r="B15" s="22" t="s">
        <v>66</v>
      </c>
      <c r="C15" s="23" t="n">
        <v>7685</v>
      </c>
      <c r="D15" s="23" t="n">
        <v>7514</v>
      </c>
      <c r="E15" s="23" t="n">
        <v>9075</v>
      </c>
      <c r="F15" s="23" t="n">
        <v>10681</v>
      </c>
      <c r="G15" s="23" t="n">
        <v>12551</v>
      </c>
      <c r="H15" s="23" t="n">
        <v>13952</v>
      </c>
      <c r="I15" s="24" t="n">
        <f aca="false">(H15/C15)^(1/5)-1</f>
        <v>0.126674640349674</v>
      </c>
    </row>
    <row r="16" customFormat="false" ht="15" hidden="false" customHeight="true" outlineLevel="0" collapsed="false">
      <c r="B16" s="25" t="s">
        <v>67</v>
      </c>
      <c r="C16" s="30" t="n">
        <v>0.43</v>
      </c>
      <c r="D16" s="30" t="n">
        <v>0.421</v>
      </c>
      <c r="E16" s="30" t="n">
        <v>0.445</v>
      </c>
      <c r="F16" s="30" t="n">
        <v>0.441</v>
      </c>
      <c r="G16" s="24" t="n">
        <f aca="false">G15/G7</f>
        <v>0.440695224719101</v>
      </c>
      <c r="H16" s="24" t="n">
        <f aca="false">H15/H7</f>
        <v>0.44306128929819</v>
      </c>
    </row>
    <row r="17" customFormat="false" ht="15" hidden="false" customHeight="true" outlineLevel="0" collapsed="false">
      <c r="B17" s="22" t="s">
        <v>68</v>
      </c>
      <c r="C17" s="23" t="n">
        <v>418</v>
      </c>
      <c r="D17" s="23" t="n">
        <v>427</v>
      </c>
      <c r="E17" s="23" t="n">
        <v>529</v>
      </c>
      <c r="F17" s="23" t="n">
        <v>750</v>
      </c>
      <c r="G17" s="23" t="n">
        <v>900</v>
      </c>
      <c r="H17" s="23" t="n">
        <v>1000</v>
      </c>
    </row>
    <row r="18" customFormat="false" ht="15" hidden="false" customHeight="true" outlineLevel="0" collapsed="false">
      <c r="B18" s="22" t="s">
        <v>69</v>
      </c>
      <c r="C18" s="29" t="n">
        <f aca="false">C15+C17</f>
        <v>8103</v>
      </c>
      <c r="D18" s="29" t="n">
        <f aca="false">D15+D17</f>
        <v>7941</v>
      </c>
      <c r="E18" s="29" t="n">
        <f aca="false">E15+E17</f>
        <v>9604</v>
      </c>
      <c r="F18" s="29" t="n">
        <f aca="false">F15+F17</f>
        <v>11431</v>
      </c>
      <c r="G18" s="29" t="n">
        <f aca="false">G15+G17</f>
        <v>13451</v>
      </c>
      <c r="H18" s="29" t="n">
        <f aca="false">H15+H17</f>
        <v>14952</v>
      </c>
      <c r="I18" s="24" t="n">
        <f aca="false">(H18/C18)^(1/5)-1</f>
        <v>0.130344147125297</v>
      </c>
    </row>
    <row r="19" customFormat="false" ht="15" hidden="false" customHeight="true" outlineLevel="0" collapsed="false">
      <c r="B19" s="25" t="s">
        <v>70</v>
      </c>
      <c r="C19" s="24" t="n">
        <f aca="false">C18/C7</f>
        <v>0.453365411514575</v>
      </c>
      <c r="D19" s="24" t="n">
        <f aca="false">D18/D7</f>
        <v>0.444649756425332</v>
      </c>
      <c r="E19" s="24" t="n">
        <f aca="false">E18/E7</f>
        <v>0.470622825501054</v>
      </c>
      <c r="F19" s="24" t="n">
        <f aca="false">F18/F7</f>
        <v>0.471984805318139</v>
      </c>
      <c r="G19" s="24" t="n">
        <f aca="false">G18/G7</f>
        <v>0.472296348314607</v>
      </c>
      <c r="H19" s="24" t="n">
        <f aca="false">H18/H7</f>
        <v>0.474817402349952</v>
      </c>
    </row>
    <row r="20" customFormat="false" ht="3.75" hidden="false" customHeight="true" outlineLevel="0" collapsed="false"/>
    <row r="21" customFormat="false" ht="18" hidden="false" customHeight="true" outlineLevel="0" collapsed="false">
      <c r="B21" s="7" t="s">
        <v>71</v>
      </c>
      <c r="C21" s="7"/>
      <c r="D21" s="7"/>
      <c r="E21" s="7"/>
      <c r="F21" s="7"/>
      <c r="G21" s="7"/>
      <c r="H21" s="7"/>
      <c r="I21" s="7"/>
    </row>
    <row r="22" customFormat="false" ht="15" hidden="false" customHeight="true" outlineLevel="0" collapsed="false">
      <c r="B22" s="22" t="s">
        <v>72</v>
      </c>
      <c r="C22" s="31" t="n">
        <v>33.97</v>
      </c>
      <c r="D22" s="31" t="n">
        <v>36.51</v>
      </c>
      <c r="E22" s="31" t="n">
        <v>42.01</v>
      </c>
      <c r="F22" s="31" t="n">
        <v>35.31</v>
      </c>
      <c r="G22" s="31" t="n">
        <v>54.95</v>
      </c>
      <c r="H22" s="31" t="n">
        <v>62.53</v>
      </c>
      <c r="I22" s="24" t="n">
        <f aca="false">(H22/C22)^(1/5)-1</f>
        <v>0.129792211154373</v>
      </c>
    </row>
    <row r="23" customFormat="false" ht="15" hidden="false" customHeight="true" outlineLevel="0" collapsed="false">
      <c r="B23" s="22" t="s">
        <v>73</v>
      </c>
      <c r="C23" s="31" t="n">
        <v>39.18</v>
      </c>
      <c r="D23" s="31" t="n">
        <v>41.52</v>
      </c>
      <c r="E23" s="31" t="n">
        <v>43.61</v>
      </c>
      <c r="F23" s="31" t="n">
        <v>48.09</v>
      </c>
      <c r="G23" s="31" t="n">
        <v>54.44</v>
      </c>
      <c r="H23" s="31" t="n">
        <v>61.8</v>
      </c>
      <c r="I23" s="24" t="n">
        <f aca="false">(H23/C23)^(1/5)-1</f>
        <v>0.0954304492810594</v>
      </c>
    </row>
    <row r="24" customFormat="false" ht="15" hidden="false" customHeight="true" outlineLevel="0" collapsed="false">
      <c r="B24" s="25" t="s">
        <v>74</v>
      </c>
      <c r="C24" s="32" t="s">
        <v>60</v>
      </c>
      <c r="D24" s="27" t="n">
        <f aca="false">(D23-C23)/C23</f>
        <v>0.0597243491577336</v>
      </c>
      <c r="E24" s="27" t="n">
        <f aca="false">(E23-D23)/D23</f>
        <v>0.0503371868978805</v>
      </c>
      <c r="F24" s="27" t="n">
        <f aca="false">(F23-E23)/E23</f>
        <v>0.102728731942215</v>
      </c>
      <c r="G24" s="27" t="n">
        <f aca="false">(G23-F23)/F23</f>
        <v>0.132044084009149</v>
      </c>
      <c r="H24" s="27" t="n">
        <f aca="false">(H23-G23)/G23</f>
        <v>0.135194709772226</v>
      </c>
    </row>
    <row r="25" customFormat="false" ht="15" hidden="false" customHeight="true" outlineLevel="0" collapsed="false">
      <c r="B25" s="22" t="s">
        <v>75</v>
      </c>
      <c r="C25" s="33" t="n">
        <v>152</v>
      </c>
      <c r="D25" s="33" t="n">
        <v>151</v>
      </c>
      <c r="E25" s="33" t="n">
        <v>152</v>
      </c>
      <c r="F25" s="33" t="n">
        <v>157</v>
      </c>
      <c r="G25" s="33" t="n">
        <v>158</v>
      </c>
      <c r="H25" s="33" t="n">
        <v>159</v>
      </c>
    </row>
    <row r="26" customFormat="false" ht="15" hidden="false" customHeight="true" outlineLevel="0" collapsed="false">
      <c r="B26" s="22" t="s">
        <v>76</v>
      </c>
      <c r="C26" s="31" t="n">
        <v>16.52</v>
      </c>
      <c r="D26" s="31" t="n">
        <v>19.52</v>
      </c>
      <c r="E26" s="31" t="n">
        <v>20.4</v>
      </c>
      <c r="F26" s="31" t="n">
        <v>20.84</v>
      </c>
      <c r="G26" s="31" t="n">
        <v>22.92</v>
      </c>
      <c r="H26" s="31" t="n">
        <v>25.21</v>
      </c>
    </row>
    <row r="27" customFormat="false" ht="3.75" hidden="false" customHeight="true" outlineLevel="0" collapsed="false"/>
    <row r="28" customFormat="false" ht="18" hidden="false" customHeight="true" outlineLevel="0" collapsed="false">
      <c r="B28" s="7" t="s">
        <v>77</v>
      </c>
      <c r="C28" s="7"/>
      <c r="D28" s="7"/>
      <c r="E28" s="7"/>
      <c r="F28" s="7"/>
      <c r="G28" s="7"/>
      <c r="H28" s="7"/>
      <c r="I28" s="7"/>
    </row>
    <row r="29" customFormat="false" ht="15" hidden="false" customHeight="true" outlineLevel="0" collapsed="false">
      <c r="B29" s="22" t="s">
        <v>78</v>
      </c>
      <c r="C29" s="34" t="n">
        <v>8.59</v>
      </c>
      <c r="D29" s="34" t="n">
        <v>9.09</v>
      </c>
      <c r="E29" s="34" t="n">
        <v>11.55</v>
      </c>
      <c r="F29" s="34" t="n">
        <v>14.04</v>
      </c>
      <c r="G29" s="34" t="n">
        <v>15.5</v>
      </c>
      <c r="H29" s="34" t="n">
        <v>17.05</v>
      </c>
      <c r="I29" s="24" t="n">
        <f aca="false">(H29/C29)^(1/5)-1</f>
        <v>0.14695464323997</v>
      </c>
    </row>
    <row r="30" customFormat="false" ht="15" hidden="false" customHeight="true" outlineLevel="0" collapsed="false">
      <c r="B30" s="25" t="s">
        <v>79</v>
      </c>
      <c r="C30" s="32" t="s">
        <v>60</v>
      </c>
      <c r="D30" s="27" t="n">
        <f aca="false">(D29-C29)/C29</f>
        <v>0.0582072176949942</v>
      </c>
      <c r="E30" s="27" t="n">
        <f aca="false">(E29-D29)/D29</f>
        <v>0.270627062706271</v>
      </c>
      <c r="F30" s="27" t="n">
        <f aca="false">(F29-E29)/E29</f>
        <v>0.215584415584415</v>
      </c>
      <c r="G30" s="27" t="n">
        <f aca="false">(G29-F29)/F29</f>
        <v>0.103988603988604</v>
      </c>
      <c r="H30" s="27" t="n">
        <f aca="false">(H29-G29)/G29</f>
        <v>0.1</v>
      </c>
    </row>
    <row r="32" customFormat="false" ht="3.75" hidden="false" customHeight="true" outlineLevel="0" collapsed="false"/>
    <row r="33" customFormat="false" ht="24.75" hidden="false" customHeight="true" outlineLevel="0" collapsed="false">
      <c r="B33" s="35" t="s">
        <v>80</v>
      </c>
      <c r="C33" s="35"/>
      <c r="D33" s="35"/>
      <c r="E33" s="35"/>
      <c r="F33" s="35"/>
      <c r="G33" s="35"/>
      <c r="H33" s="35"/>
      <c r="I33" s="35"/>
    </row>
    <row r="34" customFormat="false" ht="19.5" hidden="false" customHeight="true" outlineLevel="0" collapsed="false">
      <c r="B34" s="35"/>
      <c r="C34" s="35"/>
      <c r="D34" s="35"/>
      <c r="E34" s="35"/>
      <c r="F34" s="35"/>
      <c r="G34" s="35"/>
      <c r="H34" s="35"/>
      <c r="I34" s="35"/>
    </row>
  </sheetData>
  <mergeCells count="8">
    <mergeCell ref="B2:I2"/>
    <mergeCell ref="B3:I3"/>
    <mergeCell ref="B6:I6"/>
    <mergeCell ref="B9:I9"/>
    <mergeCell ref="B14:I14"/>
    <mergeCell ref="B21:I21"/>
    <mergeCell ref="B28:I28"/>
    <mergeCell ref="B33:I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9" min="3" style="0" width="14"/>
  </cols>
  <sheetData>
    <row r="2" customFormat="false" ht="24" hidden="false" customHeight="true" outlineLevel="0" collapsed="false">
      <c r="B2" s="19" t="s">
        <v>81</v>
      </c>
      <c r="C2" s="19"/>
      <c r="D2" s="19"/>
      <c r="E2" s="19"/>
      <c r="F2" s="19"/>
      <c r="G2" s="19"/>
      <c r="H2" s="19"/>
      <c r="I2" s="19"/>
    </row>
    <row r="3" customFormat="false" ht="15" hidden="false" customHeight="false" outlineLevel="0" collapsed="false">
      <c r="B3" s="20" t="s">
        <v>82</v>
      </c>
      <c r="C3" s="20"/>
      <c r="D3" s="20"/>
      <c r="E3" s="20"/>
      <c r="F3" s="20"/>
      <c r="G3" s="20"/>
      <c r="H3" s="20"/>
      <c r="I3" s="20"/>
    </row>
    <row r="4" customFormat="false" ht="3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</row>
    <row r="5" customFormat="false" ht="19.5" hidden="false" customHeight="true" outlineLevel="0" collapsed="false">
      <c r="B5" s="8" t="s">
        <v>83</v>
      </c>
      <c r="C5" s="8" t="s">
        <v>50</v>
      </c>
      <c r="D5" s="8" t="s">
        <v>51</v>
      </c>
      <c r="E5" s="8" t="s">
        <v>52</v>
      </c>
      <c r="F5" s="8" t="s">
        <v>53</v>
      </c>
      <c r="G5" s="21" t="s">
        <v>54</v>
      </c>
      <c r="H5" s="21" t="s">
        <v>55</v>
      </c>
      <c r="I5" s="8" t="s">
        <v>56</v>
      </c>
    </row>
    <row r="6" customFormat="false" ht="18" hidden="false" customHeight="true" outlineLevel="0" collapsed="false">
      <c r="B6" s="7" t="s">
        <v>84</v>
      </c>
      <c r="C6" s="7"/>
      <c r="D6" s="7"/>
      <c r="E6" s="7"/>
      <c r="F6" s="7"/>
      <c r="G6" s="7"/>
      <c r="H6" s="7"/>
      <c r="I6" s="7"/>
    </row>
    <row r="7" customFormat="false" ht="15" hidden="false" customHeight="true" outlineLevel="0" collapsed="false">
      <c r="B7" s="22" t="s">
        <v>69</v>
      </c>
      <c r="C7" s="23" t="n">
        <v>8103</v>
      </c>
      <c r="D7" s="23" t="n">
        <v>7941</v>
      </c>
      <c r="E7" s="23" t="n">
        <v>9604</v>
      </c>
      <c r="F7" s="23" t="n">
        <v>11431</v>
      </c>
      <c r="G7" s="23" t="n">
        <v>13451</v>
      </c>
      <c r="H7" s="23" t="n">
        <v>14952</v>
      </c>
      <c r="I7" s="24" t="n">
        <f aca="false">(H7/C7)^(1/5)-1</f>
        <v>0.130344147125297</v>
      </c>
    </row>
    <row r="8" customFormat="false" ht="15" hidden="false" customHeight="true" outlineLevel="0" collapsed="false">
      <c r="B8" s="22" t="s">
        <v>85</v>
      </c>
      <c r="C8" s="23" t="n">
        <v>-418</v>
      </c>
      <c r="D8" s="23" t="n">
        <v>-427</v>
      </c>
      <c r="E8" s="23" t="n">
        <v>-529</v>
      </c>
      <c r="F8" s="23" t="n">
        <v>-750</v>
      </c>
      <c r="G8" s="23" t="n">
        <v>-900</v>
      </c>
      <c r="H8" s="23" t="n">
        <v>-1000</v>
      </c>
    </row>
    <row r="9" customFormat="false" ht="15" hidden="false" customHeight="true" outlineLevel="0" collapsed="false">
      <c r="B9" s="22" t="s">
        <v>86</v>
      </c>
      <c r="C9" s="36" t="n">
        <f aca="false">C7+C8</f>
        <v>7685</v>
      </c>
      <c r="D9" s="36" t="n">
        <f aca="false">D7+D8</f>
        <v>7514</v>
      </c>
      <c r="E9" s="36" t="n">
        <f aca="false">E7+E8</f>
        <v>9075</v>
      </c>
      <c r="F9" s="36" t="n">
        <f aca="false">F7+F8</f>
        <v>10681</v>
      </c>
      <c r="G9" s="36" t="n">
        <f aca="false">G7+G8</f>
        <v>12551</v>
      </c>
      <c r="H9" s="36" t="n">
        <f aca="false">H7+H8</f>
        <v>13952</v>
      </c>
    </row>
    <row r="10" customFormat="false" ht="15" hidden="false" customHeight="true" outlineLevel="0" collapsed="false">
      <c r="B10" s="22" t="s">
        <v>87</v>
      </c>
      <c r="C10" s="30" t="n">
        <v>0.206</v>
      </c>
      <c r="D10" s="30" t="n">
        <v>0.207</v>
      </c>
      <c r="E10" s="30" t="n">
        <v>0.215</v>
      </c>
      <c r="F10" s="30" t="n">
        <v>0.214</v>
      </c>
      <c r="G10" s="30" t="n">
        <v>0.215</v>
      </c>
      <c r="H10" s="30" t="n">
        <v>0.215</v>
      </c>
    </row>
    <row r="11" customFormat="false" ht="15" hidden="false" customHeight="true" outlineLevel="0" collapsed="false">
      <c r="B11" s="28" t="s">
        <v>88</v>
      </c>
      <c r="C11" s="29" t="n">
        <f aca="false">C9*(1-C10)</f>
        <v>6101.89</v>
      </c>
      <c r="D11" s="29" t="n">
        <f aca="false">D9*(1-D10)</f>
        <v>5958.602</v>
      </c>
      <c r="E11" s="29" t="n">
        <f aca="false">E9*(1-E10)</f>
        <v>7123.875</v>
      </c>
      <c r="F11" s="29" t="n">
        <f aca="false">F9*(1-F10)</f>
        <v>8395.266</v>
      </c>
      <c r="G11" s="29" t="n">
        <f aca="false">G9*(1-G10)</f>
        <v>9852.535</v>
      </c>
      <c r="H11" s="29" t="n">
        <f aca="false">H9*(1-H10)</f>
        <v>10952.32</v>
      </c>
      <c r="I11" s="24" t="n">
        <f aca="false">(H11/C11)^(1/5)-1</f>
        <v>0.124108806072756</v>
      </c>
    </row>
    <row r="12" customFormat="false" ht="3.75" hidden="false" customHeight="true" outlineLevel="0" collapsed="false"/>
    <row r="13" customFormat="false" ht="18" hidden="false" customHeight="true" outlineLevel="0" collapsed="false">
      <c r="B13" s="7" t="s">
        <v>89</v>
      </c>
      <c r="C13" s="7"/>
      <c r="D13" s="7"/>
      <c r="E13" s="7"/>
      <c r="F13" s="7"/>
      <c r="G13" s="7"/>
      <c r="H13" s="7"/>
      <c r="I13" s="7"/>
    </row>
    <row r="14" customFormat="false" ht="15" hidden="false" customHeight="true" outlineLevel="0" collapsed="false">
      <c r="B14" s="22" t="s">
        <v>90</v>
      </c>
      <c r="C14" s="37" t="n">
        <f aca="false">C11</f>
        <v>6101.89</v>
      </c>
      <c r="D14" s="37" t="n">
        <f aca="false">D11</f>
        <v>5958.602</v>
      </c>
      <c r="E14" s="37" t="n">
        <f aca="false">E11</f>
        <v>7123.875</v>
      </c>
      <c r="F14" s="37" t="n">
        <f aca="false">F11</f>
        <v>8395.266</v>
      </c>
      <c r="G14" s="37" t="n">
        <f aca="false">G11</f>
        <v>9852.535</v>
      </c>
      <c r="H14" s="37" t="n">
        <f aca="false">H11</f>
        <v>10952.32</v>
      </c>
    </row>
    <row r="15" customFormat="false" ht="15" hidden="false" customHeight="true" outlineLevel="0" collapsed="false">
      <c r="B15" s="22" t="s">
        <v>91</v>
      </c>
      <c r="C15" s="23" t="n">
        <v>418</v>
      </c>
      <c r="D15" s="23" t="n">
        <v>427</v>
      </c>
      <c r="E15" s="23" t="n">
        <v>529</v>
      </c>
      <c r="F15" s="23" t="n">
        <v>750</v>
      </c>
      <c r="G15" s="23" t="n">
        <v>900</v>
      </c>
      <c r="H15" s="23" t="n">
        <v>1000</v>
      </c>
    </row>
    <row r="16" customFormat="false" ht="15" hidden="false" customHeight="true" outlineLevel="0" collapsed="false">
      <c r="B16" s="22" t="s">
        <v>92</v>
      </c>
      <c r="C16" s="23" t="n">
        <v>708</v>
      </c>
      <c r="D16" s="23" t="n">
        <v>630</v>
      </c>
      <c r="E16" s="23" t="n">
        <v>753</v>
      </c>
      <c r="F16" s="23" t="n">
        <v>850</v>
      </c>
      <c r="G16" s="23" t="n">
        <v>950</v>
      </c>
      <c r="H16" s="23" t="n">
        <v>1050</v>
      </c>
    </row>
    <row r="17" customFormat="false" ht="15" hidden="false" customHeight="true" outlineLevel="0" collapsed="false">
      <c r="B17" s="22" t="s">
        <v>93</v>
      </c>
      <c r="C17" s="23" t="n">
        <v>570</v>
      </c>
      <c r="D17" s="23" t="n">
        <v>321</v>
      </c>
      <c r="E17" s="23" t="n">
        <v>-515</v>
      </c>
      <c r="F17" s="23" t="n">
        <v>-300</v>
      </c>
      <c r="G17" s="23" t="n">
        <v>-200</v>
      </c>
      <c r="H17" s="23" t="n">
        <v>-150</v>
      </c>
    </row>
    <row r="18" customFormat="false" ht="15" hidden="false" customHeight="true" outlineLevel="0" collapsed="false">
      <c r="B18" s="22" t="s">
        <v>94</v>
      </c>
      <c r="C18" s="23" t="n">
        <v>-533</v>
      </c>
      <c r="D18" s="23" t="n">
        <v>-344</v>
      </c>
      <c r="E18" s="23" t="n">
        <v>-255</v>
      </c>
      <c r="F18" s="23" t="n">
        <v>-375</v>
      </c>
      <c r="G18" s="23" t="n">
        <v>-450</v>
      </c>
      <c r="H18" s="23" t="n">
        <v>-500</v>
      </c>
    </row>
    <row r="19" customFormat="false" ht="15" hidden="false" customHeight="true" outlineLevel="0" collapsed="false">
      <c r="B19" s="28" t="s">
        <v>95</v>
      </c>
      <c r="C19" s="29" t="n">
        <f aca="false">C14+C15+C16+C17+C18</f>
        <v>7264.89</v>
      </c>
      <c r="D19" s="29" t="n">
        <f aca="false">D14+D15+D16+D17+D18</f>
        <v>6992.602</v>
      </c>
      <c r="E19" s="29" t="n">
        <f aca="false">E14+E15+E16+E17+E18</f>
        <v>7635.875</v>
      </c>
      <c r="F19" s="29" t="n">
        <f aca="false">F14+F15+F16+F17+F18</f>
        <v>9320.266</v>
      </c>
      <c r="G19" s="29" t="n">
        <f aca="false">G14+G15+G16+G17+G18</f>
        <v>11052.535</v>
      </c>
      <c r="H19" s="29" t="n">
        <f aca="false">H14+H15+H16+H17+H18</f>
        <v>12352.32</v>
      </c>
      <c r="I19" s="24" t="n">
        <f aca="false">(H19/C19)^(1/5)-1</f>
        <v>0.111997723676154</v>
      </c>
    </row>
    <row r="20" customFormat="false" ht="15" hidden="false" customHeight="true" outlineLevel="0" collapsed="false">
      <c r="B20" s="22" t="s">
        <v>96</v>
      </c>
      <c r="C20" s="27" t="n">
        <f aca="false">C19/17873</f>
        <v>0.40647289207184</v>
      </c>
      <c r="D20" s="27" t="n">
        <f aca="false">D19/17859</f>
        <v>0.391544991320903</v>
      </c>
      <c r="E20" s="27" t="n">
        <f aca="false">E19/20407</f>
        <v>0.374179203214583</v>
      </c>
      <c r="F20" s="27" t="n">
        <f aca="false">F19/24219</f>
        <v>0.384832817209629</v>
      </c>
      <c r="G20" s="27" t="n">
        <f aca="false">G19/28480</f>
        <v>0.388080582865169</v>
      </c>
      <c r="H20" s="27" t="n">
        <f aca="false">H19/31490</f>
        <v>0.392261670371547</v>
      </c>
    </row>
    <row r="21" customFormat="false" ht="3.75" hidden="false" customHeight="true" outlineLevel="0" collapsed="false"/>
    <row r="22" customFormat="false" ht="18" hidden="false" customHeight="true" outlineLevel="0" collapsed="false">
      <c r="B22" s="7" t="s">
        <v>97</v>
      </c>
      <c r="C22" s="7"/>
      <c r="D22" s="7"/>
      <c r="E22" s="7"/>
      <c r="F22" s="7"/>
      <c r="G22" s="7"/>
      <c r="H22" s="7"/>
      <c r="I22" s="7"/>
    </row>
    <row r="23" customFormat="false" ht="15" hidden="false" customHeight="true" outlineLevel="0" collapsed="false">
      <c r="B23" s="22" t="s">
        <v>98</v>
      </c>
      <c r="C23" s="23" t="n">
        <v>-168</v>
      </c>
      <c r="D23" s="23" t="n">
        <v>-232</v>
      </c>
      <c r="E23" s="23" t="n">
        <v>-422</v>
      </c>
      <c r="F23" s="23" t="n">
        <v>-483</v>
      </c>
      <c r="G23" s="23" t="n">
        <v>-487</v>
      </c>
      <c r="H23" s="23" t="n">
        <v>-487</v>
      </c>
    </row>
    <row r="24" customFormat="false" ht="15" hidden="false" customHeight="true" outlineLevel="0" collapsed="false">
      <c r="B24" s="22" t="s">
        <v>99</v>
      </c>
      <c r="C24" s="23" t="n">
        <v>0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</row>
    <row r="25" customFormat="false" ht="15" hidden="false" customHeight="true" outlineLevel="0" collapsed="false">
      <c r="B25" s="28" t="s">
        <v>100</v>
      </c>
      <c r="C25" s="29" t="n">
        <f aca="false">C19+C23+C24</f>
        <v>7096.89</v>
      </c>
      <c r="D25" s="29" t="n">
        <f aca="false">D19+D23+D24</f>
        <v>6760.602</v>
      </c>
      <c r="E25" s="29" t="n">
        <f aca="false">E19+E23+E24</f>
        <v>7213.875</v>
      </c>
      <c r="F25" s="29" t="n">
        <f aca="false">F19+F23+F24</f>
        <v>8837.266</v>
      </c>
      <c r="G25" s="29" t="n">
        <f aca="false">G19+G23+G24</f>
        <v>10565.535</v>
      </c>
      <c r="H25" s="29" t="n">
        <f aca="false">H19+H23+H24</f>
        <v>11865.32</v>
      </c>
      <c r="I25" s="24" t="n">
        <f aca="false">(H25/C25)^(1/5)-1</f>
        <v>0.108261576058217</v>
      </c>
    </row>
    <row r="27" customFormat="false" ht="3.75" hidden="false" customHeight="true" outlineLevel="0" collapsed="false"/>
    <row r="28" customFormat="false" ht="24.75" hidden="false" customHeight="true" outlineLevel="0" collapsed="false">
      <c r="B28" s="35" t="s">
        <v>101</v>
      </c>
      <c r="C28" s="35"/>
      <c r="D28" s="35"/>
      <c r="E28" s="35"/>
      <c r="F28" s="35"/>
      <c r="G28" s="35"/>
      <c r="H28" s="35"/>
      <c r="I28" s="35"/>
    </row>
    <row r="29" customFormat="false" ht="19.5" hidden="false" customHeight="true" outlineLevel="0" collapsed="false">
      <c r="B29" s="35"/>
      <c r="C29" s="35"/>
      <c r="D29" s="35"/>
      <c r="E29" s="35"/>
      <c r="F29" s="35"/>
      <c r="G29" s="35"/>
      <c r="H29" s="35"/>
      <c r="I29" s="35"/>
    </row>
  </sheetData>
  <mergeCells count="6">
    <mergeCell ref="B2:I2"/>
    <mergeCell ref="B3:I3"/>
    <mergeCell ref="B6:I6"/>
    <mergeCell ref="B13:I13"/>
    <mergeCell ref="B22:I22"/>
    <mergeCell ref="B28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5" min="3" style="0" width="18"/>
    <col collapsed="false" customWidth="true" hidden="false" outlineLevel="0" max="6" min="6" style="0" width="26"/>
  </cols>
  <sheetData>
    <row r="2" customFormat="false" ht="24" hidden="false" customHeight="true" outlineLevel="0" collapsed="false">
      <c r="B2" s="19" t="s">
        <v>102</v>
      </c>
      <c r="C2" s="19"/>
      <c r="D2" s="19"/>
      <c r="E2" s="19"/>
      <c r="F2" s="19"/>
    </row>
    <row r="3" customFormat="false" ht="15" hidden="false" customHeight="false" outlineLevel="0" collapsed="false">
      <c r="B3" s="20" t="s">
        <v>103</v>
      </c>
      <c r="C3" s="20"/>
      <c r="D3" s="20"/>
      <c r="E3" s="20"/>
      <c r="F3" s="20"/>
    </row>
    <row r="4" customFormat="false" ht="3" hidden="false" customHeight="true" outlineLevel="0" collapsed="false">
      <c r="B4" s="4"/>
      <c r="C4" s="4"/>
      <c r="D4" s="4"/>
      <c r="E4" s="4"/>
      <c r="F4" s="4"/>
      <c r="G4" s="4"/>
    </row>
    <row r="5" customFormat="false" ht="19.5" hidden="false" customHeight="true" outlineLevel="0" collapsed="false">
      <c r="B5" s="8" t="s">
        <v>104</v>
      </c>
      <c r="C5" s="8" t="s">
        <v>105</v>
      </c>
      <c r="D5" s="38" t="s">
        <v>106</v>
      </c>
      <c r="E5" s="39" t="s">
        <v>107</v>
      </c>
      <c r="F5" s="8" t="s">
        <v>108</v>
      </c>
    </row>
    <row r="6" customFormat="false" ht="18" hidden="false" customHeight="true" outlineLevel="0" collapsed="false">
      <c r="B6" s="7" t="s">
        <v>109</v>
      </c>
      <c r="C6" s="7"/>
      <c r="D6" s="7"/>
      <c r="E6" s="7"/>
      <c r="F6" s="7"/>
    </row>
    <row r="7" customFormat="false" ht="15" hidden="false" customHeight="true" outlineLevel="0" collapsed="false">
      <c r="B7" s="13" t="s">
        <v>110</v>
      </c>
      <c r="C7" s="30" t="n">
        <v>0.043</v>
      </c>
      <c r="D7" s="30" t="n">
        <v>0.043</v>
      </c>
      <c r="E7" s="30" t="n">
        <v>0.043</v>
      </c>
      <c r="F7" s="40" t="s">
        <v>111</v>
      </c>
    </row>
    <row r="8" customFormat="false" ht="15" hidden="false" customHeight="true" outlineLevel="0" collapsed="false">
      <c r="B8" s="13" t="s">
        <v>112</v>
      </c>
      <c r="C8" s="30" t="n">
        <v>1.2</v>
      </c>
      <c r="D8" s="30" t="n">
        <v>1.36</v>
      </c>
      <c r="E8" s="30" t="n">
        <v>1</v>
      </c>
      <c r="F8" s="40" t="s">
        <v>113</v>
      </c>
    </row>
    <row r="9" customFormat="false" ht="15" hidden="false" customHeight="true" outlineLevel="0" collapsed="false">
      <c r="B9" s="13" t="s">
        <v>114</v>
      </c>
      <c r="C9" s="30" t="n">
        <v>0.055</v>
      </c>
      <c r="D9" s="30" t="n">
        <v>0.06</v>
      </c>
      <c r="E9" s="30" t="n">
        <v>0.05</v>
      </c>
      <c r="F9" s="40" t="s">
        <v>115</v>
      </c>
    </row>
    <row r="10" customFormat="false" ht="15" hidden="false" customHeight="true" outlineLevel="0" collapsed="false">
      <c r="B10" s="41" t="s">
        <v>116</v>
      </c>
      <c r="C10" s="42" t="n">
        <f aca="false">C7+C8*C9</f>
        <v>0.109</v>
      </c>
      <c r="D10" s="42" t="n">
        <f aca="false">D7+D8*D9</f>
        <v>0.1246</v>
      </c>
      <c r="E10" s="42" t="n">
        <f aca="false">E7+E8*E9</f>
        <v>0.093</v>
      </c>
      <c r="F10" s="43" t="s">
        <v>117</v>
      </c>
    </row>
    <row r="11" customFormat="false" ht="3.75" hidden="false" customHeight="true" outlineLevel="0" collapsed="false"/>
    <row r="12" customFormat="false" ht="18" hidden="false" customHeight="true" outlineLevel="0" collapsed="false">
      <c r="B12" s="7" t="s">
        <v>118</v>
      </c>
      <c r="C12" s="7"/>
      <c r="D12" s="7"/>
      <c r="E12" s="7"/>
      <c r="F12" s="7"/>
    </row>
    <row r="13" customFormat="false" ht="15" hidden="false" customHeight="true" outlineLevel="0" collapsed="false">
      <c r="B13" s="13" t="s">
        <v>119</v>
      </c>
      <c r="C13" s="30" t="n">
        <v>0.0463</v>
      </c>
      <c r="D13" s="30" t="n">
        <v>0.05</v>
      </c>
      <c r="E13" s="30" t="n">
        <v>0.043</v>
      </c>
      <c r="F13" s="40" t="s">
        <v>120</v>
      </c>
    </row>
    <row r="14" customFormat="false" ht="15" hidden="false" customHeight="true" outlineLevel="0" collapsed="false">
      <c r="B14" s="13" t="s">
        <v>121</v>
      </c>
      <c r="C14" s="30" t="n">
        <v>0.214</v>
      </c>
      <c r="D14" s="30" t="n">
        <v>0.214</v>
      </c>
      <c r="E14" s="30" t="n">
        <v>0.214</v>
      </c>
      <c r="F14" s="40" t="s">
        <v>122</v>
      </c>
    </row>
    <row r="15" customFormat="false" ht="15" hidden="false" customHeight="true" outlineLevel="0" collapsed="false">
      <c r="B15" s="41" t="s">
        <v>123</v>
      </c>
      <c r="C15" s="42" t="n">
        <f aca="false">C13*(1-C14)</f>
        <v>0.0363918</v>
      </c>
      <c r="D15" s="42" t="n">
        <f aca="false">D13*(1-D14)</f>
        <v>0.0393</v>
      </c>
      <c r="E15" s="42" t="n">
        <f aca="false">E13*(1-E14)</f>
        <v>0.033798</v>
      </c>
      <c r="F15" s="43" t="s">
        <v>124</v>
      </c>
    </row>
    <row r="16" customFormat="false" ht="3.75" hidden="false" customHeight="true" outlineLevel="0" collapsed="false"/>
    <row r="17" customFormat="false" ht="18" hidden="false" customHeight="true" outlineLevel="0" collapsed="false">
      <c r="B17" s="7" t="s">
        <v>125</v>
      </c>
      <c r="C17" s="7"/>
      <c r="D17" s="7"/>
      <c r="E17" s="7"/>
      <c r="F17" s="7"/>
    </row>
    <row r="18" customFormat="false" ht="15" hidden="false" customHeight="true" outlineLevel="0" collapsed="false">
      <c r="B18" s="13" t="s">
        <v>126</v>
      </c>
      <c r="C18" s="23" t="n">
        <v>155000</v>
      </c>
      <c r="D18" s="23" t="n">
        <v>140000</v>
      </c>
      <c r="E18" s="23" t="n">
        <v>175000</v>
      </c>
      <c r="F18" s="40" t="s">
        <v>127</v>
      </c>
    </row>
    <row r="19" customFormat="false" ht="15" hidden="false" customHeight="true" outlineLevel="0" collapsed="false">
      <c r="B19" s="13" t="s">
        <v>128</v>
      </c>
      <c r="C19" s="23" t="n">
        <v>12800</v>
      </c>
      <c r="D19" s="23" t="n">
        <v>12800</v>
      </c>
      <c r="E19" s="23" t="n">
        <v>12800</v>
      </c>
      <c r="F19" s="40" t="s">
        <v>129</v>
      </c>
    </row>
    <row r="20" customFormat="false" ht="15" hidden="false" customHeight="true" outlineLevel="0" collapsed="false">
      <c r="B20" s="13" t="s">
        <v>130</v>
      </c>
      <c r="C20" s="36" t="n">
        <f aca="false">C18+C19</f>
        <v>167800</v>
      </c>
      <c r="D20" s="36" t="n">
        <f aca="false">D18+D19</f>
        <v>152800</v>
      </c>
      <c r="E20" s="36" t="n">
        <f aca="false">E18+E19</f>
        <v>187800</v>
      </c>
    </row>
    <row r="21" customFormat="false" ht="15" hidden="false" customHeight="true" outlineLevel="0" collapsed="false">
      <c r="B21" s="13" t="s">
        <v>131</v>
      </c>
      <c r="C21" s="24" t="n">
        <f aca="false">C18/C20</f>
        <v>0.923718712753278</v>
      </c>
      <c r="D21" s="24" t="n">
        <f aca="false">D18/D20</f>
        <v>0.916230366492147</v>
      </c>
      <c r="E21" s="24" t="n">
        <f aca="false">E18/E20</f>
        <v>0.931842385516507</v>
      </c>
    </row>
    <row r="22" customFormat="false" ht="15" hidden="false" customHeight="true" outlineLevel="0" collapsed="false">
      <c r="B22" s="13" t="s">
        <v>132</v>
      </c>
      <c r="C22" s="24" t="n">
        <f aca="false">1-C21</f>
        <v>0.0762812872467223</v>
      </c>
      <c r="D22" s="24" t="n">
        <f aca="false">1-D21</f>
        <v>0.0837696335078534</v>
      </c>
      <c r="E22" s="24" t="n">
        <f aca="false">1-E21</f>
        <v>0.0681576144834931</v>
      </c>
    </row>
    <row r="23" customFormat="false" ht="3.75" hidden="false" customHeight="true" outlineLevel="0" collapsed="false"/>
    <row r="24" customFormat="false" ht="18" hidden="false" customHeight="true" outlineLevel="0" collapsed="false">
      <c r="B24" s="7" t="s">
        <v>133</v>
      </c>
      <c r="C24" s="7"/>
      <c r="D24" s="7"/>
      <c r="E24" s="7"/>
      <c r="F24" s="7"/>
    </row>
    <row r="25" customFormat="false" ht="19.5" hidden="false" customHeight="true" outlineLevel="0" collapsed="false">
      <c r="B25" s="44" t="s">
        <v>38</v>
      </c>
      <c r="C25" s="45" t="n">
        <f aca="false">C10*C21+C15*C22</f>
        <v>0.103461353039333</v>
      </c>
      <c r="D25" s="45" t="n">
        <f aca="false">D10*D21+D15*D22</f>
        <v>0.11745445026178</v>
      </c>
      <c r="E25" s="45" t="n">
        <f aca="false">E10*E21+E15*E22</f>
        <v>0.0889649329073483</v>
      </c>
      <c r="F25" s="46" t="s">
        <v>134</v>
      </c>
    </row>
    <row r="27" customFormat="false" ht="39.75" hidden="false" customHeight="true" outlineLevel="0" collapsed="false">
      <c r="B27" s="35" t="s">
        <v>135</v>
      </c>
      <c r="C27" s="35"/>
      <c r="D27" s="35"/>
      <c r="E27" s="35"/>
      <c r="F27" s="35"/>
    </row>
    <row r="28" customFormat="false" ht="15" hidden="false" customHeight="false" outlineLevel="0" collapsed="false">
      <c r="B28" s="35"/>
      <c r="C28" s="35"/>
      <c r="D28" s="35"/>
      <c r="E28" s="35"/>
      <c r="F28" s="35"/>
    </row>
    <row r="29" customFormat="false" ht="15" hidden="false" customHeight="false" outlineLevel="0" collapsed="false">
      <c r="B29" s="35"/>
      <c r="C29" s="35"/>
      <c r="D29" s="35"/>
      <c r="E29" s="35"/>
      <c r="F29" s="35"/>
    </row>
  </sheetData>
  <mergeCells count="7">
    <mergeCell ref="B2:F2"/>
    <mergeCell ref="B3:F3"/>
    <mergeCell ref="B6:F6"/>
    <mergeCell ref="B12:F12"/>
    <mergeCell ref="B17:F17"/>
    <mergeCell ref="B24:F24"/>
    <mergeCell ref="B27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5" min="3" style="0" width="18"/>
    <col collapsed="false" customWidth="true" hidden="false" outlineLevel="0" max="6" min="6" style="0" width="30"/>
  </cols>
  <sheetData>
    <row r="2" customFormat="false" ht="24" hidden="false" customHeight="true" outlineLevel="0" collapsed="false">
      <c r="B2" s="19" t="s">
        <v>136</v>
      </c>
      <c r="C2" s="19"/>
      <c r="D2" s="19"/>
      <c r="E2" s="19"/>
      <c r="F2" s="19"/>
    </row>
    <row r="3" customFormat="false" ht="15" hidden="false" customHeight="false" outlineLevel="0" collapsed="false">
      <c r="B3" s="20" t="s">
        <v>137</v>
      </c>
      <c r="C3" s="20"/>
      <c r="D3" s="20"/>
      <c r="E3" s="20"/>
      <c r="F3" s="20"/>
    </row>
    <row r="4" customFormat="false" ht="3" hidden="false" customHeight="true" outlineLevel="0" collapsed="false">
      <c r="B4" s="4"/>
      <c r="C4" s="4"/>
      <c r="D4" s="4"/>
      <c r="E4" s="4"/>
      <c r="F4" s="4"/>
      <c r="G4" s="4"/>
    </row>
    <row r="5" customFormat="false" ht="19.5" hidden="false" customHeight="true" outlineLevel="0" collapsed="false">
      <c r="B5" s="8" t="s">
        <v>138</v>
      </c>
      <c r="C5" s="38" t="s">
        <v>106</v>
      </c>
      <c r="D5" s="8" t="s">
        <v>105</v>
      </c>
      <c r="E5" s="39" t="s">
        <v>107</v>
      </c>
      <c r="F5" s="8" t="s">
        <v>139</v>
      </c>
    </row>
    <row r="6" customFormat="false" ht="18" hidden="false" customHeight="true" outlineLevel="0" collapsed="false">
      <c r="B6" s="7" t="s">
        <v>140</v>
      </c>
      <c r="C6" s="7"/>
      <c r="D6" s="7"/>
      <c r="E6" s="7"/>
      <c r="F6" s="7"/>
    </row>
    <row r="7" customFormat="false" ht="15" hidden="false" customHeight="true" outlineLevel="0" collapsed="false">
      <c r="B7" s="22" t="s">
        <v>141</v>
      </c>
      <c r="C7" s="47" t="n">
        <v>0.11</v>
      </c>
      <c r="D7" s="47" t="n">
        <v>0.095</v>
      </c>
      <c r="E7" s="47" t="n">
        <v>0.08</v>
      </c>
      <c r="F7" s="43" t="s">
        <v>142</v>
      </c>
    </row>
    <row r="8" customFormat="false" ht="15" hidden="false" customHeight="true" outlineLevel="0" collapsed="false">
      <c r="B8" s="22" t="s">
        <v>143</v>
      </c>
      <c r="C8" s="47" t="n">
        <v>0.02</v>
      </c>
      <c r="D8" s="47" t="n">
        <v>0.025</v>
      </c>
      <c r="E8" s="47" t="n">
        <v>0.0325</v>
      </c>
      <c r="F8" s="43" t="s">
        <v>144</v>
      </c>
    </row>
    <row r="9" customFormat="false" ht="3.75" hidden="false" customHeight="true" outlineLevel="0" collapsed="false"/>
    <row r="10" customFormat="false" ht="15.75" hidden="false" customHeight="true" outlineLevel="0" collapsed="false">
      <c r="B10" s="48" t="s">
        <v>145</v>
      </c>
      <c r="C10" s="48"/>
      <c r="D10" s="48"/>
      <c r="E10" s="48"/>
      <c r="F10" s="48"/>
    </row>
    <row r="11" customFormat="false" ht="15" hidden="false" customHeight="true" outlineLevel="0" collapsed="false">
      <c r="B11" s="22" t="s">
        <v>146</v>
      </c>
      <c r="C11" s="23" t="n">
        <v>3800</v>
      </c>
      <c r="D11" s="23" t="n">
        <v>5200</v>
      </c>
      <c r="E11" s="23" t="n">
        <v>6800</v>
      </c>
    </row>
    <row r="12" customFormat="false" ht="15" hidden="false" customHeight="true" outlineLevel="0" collapsed="false">
      <c r="B12" s="22" t="s">
        <v>147</v>
      </c>
      <c r="C12" s="23" t="n">
        <v>4100</v>
      </c>
      <c r="D12" s="23" t="n">
        <v>5800</v>
      </c>
      <c r="E12" s="23" t="n">
        <v>7800</v>
      </c>
    </row>
    <row r="13" customFormat="false" ht="15" hidden="false" customHeight="true" outlineLevel="0" collapsed="false">
      <c r="B13" s="22" t="s">
        <v>148</v>
      </c>
      <c r="C13" s="23" t="n">
        <v>4300</v>
      </c>
      <c r="D13" s="23" t="n">
        <v>6200</v>
      </c>
      <c r="E13" s="23" t="n">
        <v>8500</v>
      </c>
    </row>
    <row r="14" customFormat="false" ht="15" hidden="false" customHeight="true" outlineLevel="0" collapsed="false">
      <c r="B14" s="22" t="s">
        <v>149</v>
      </c>
      <c r="C14" s="23" t="n">
        <v>4500</v>
      </c>
      <c r="D14" s="23" t="n">
        <v>6600</v>
      </c>
      <c r="E14" s="23" t="n">
        <v>9200</v>
      </c>
    </row>
    <row r="15" customFormat="false" ht="15.75" hidden="false" customHeight="true" outlineLevel="0" collapsed="false">
      <c r="B15" s="48" t="s">
        <v>150</v>
      </c>
      <c r="C15" s="48"/>
      <c r="D15" s="48"/>
      <c r="E15" s="48"/>
      <c r="F15" s="48"/>
    </row>
    <row r="16" customFormat="false" ht="15" hidden="false" customHeight="true" outlineLevel="0" collapsed="false">
      <c r="B16" s="22" t="s">
        <v>151</v>
      </c>
      <c r="C16" s="36" t="n">
        <f aca="false">C11/((1+C7)^1)</f>
        <v>3423.42342342342</v>
      </c>
      <c r="D16" s="36" t="n">
        <f aca="false">D11/((1+D7)^1)</f>
        <v>4748.85844748859</v>
      </c>
      <c r="E16" s="36" t="n">
        <f aca="false">E11/((1+E7)^1)</f>
        <v>6296.2962962963</v>
      </c>
    </row>
    <row r="17" customFormat="false" ht="15" hidden="false" customHeight="true" outlineLevel="0" collapsed="false">
      <c r="B17" s="22" t="s">
        <v>152</v>
      </c>
      <c r="C17" s="36" t="n">
        <f aca="false">C12/((1+C7)^2)</f>
        <v>3327.65197630062</v>
      </c>
      <c r="D17" s="36" t="n">
        <f aca="false">D12/((1+D7)^2)</f>
        <v>4837.26361001647</v>
      </c>
      <c r="E17" s="36" t="n">
        <f aca="false">E12/((1+E7)^2)</f>
        <v>6687.24279835391</v>
      </c>
    </row>
    <row r="18" customFormat="false" ht="15" hidden="false" customHeight="true" outlineLevel="0" collapsed="false">
      <c r="B18" s="22" t="s">
        <v>153</v>
      </c>
      <c r="C18" s="36" t="n">
        <f aca="false">C13/((1+C7)^3)</f>
        <v>3144.12293959409</v>
      </c>
      <c r="D18" s="36" t="n">
        <f aca="false">D13/((1+D7)^3)</f>
        <v>4722.25387846042</v>
      </c>
      <c r="E18" s="36" t="n">
        <f aca="false">E13/((1+E7)^3)</f>
        <v>6747.57404867144</v>
      </c>
    </row>
    <row r="19" customFormat="false" ht="15" hidden="false" customHeight="true" outlineLevel="0" collapsed="false">
      <c r="B19" s="22" t="s">
        <v>154</v>
      </c>
      <c r="C19" s="36" t="n">
        <f aca="false">C14/((1+C7)^4)</f>
        <v>2964.2893836525</v>
      </c>
      <c r="D19" s="36" t="n">
        <f aca="false">D14/((1+D7)^4)</f>
        <v>4590.79033699201</v>
      </c>
      <c r="E19" s="36" t="n">
        <f aca="false">E14/((1+E7)^4)</f>
        <v>6762.27464572737</v>
      </c>
    </row>
    <row r="20" customFormat="false" ht="15" hidden="false" customHeight="true" outlineLevel="0" collapsed="false">
      <c r="B20" s="28" t="s">
        <v>155</v>
      </c>
      <c r="C20" s="29" t="n">
        <f aca="false">C16+C17+C18+C19</f>
        <v>12859.4877229706</v>
      </c>
      <c r="D20" s="29" t="n">
        <f aca="false">D16+D17+D18+D19</f>
        <v>18899.1662729575</v>
      </c>
      <c r="E20" s="29" t="n">
        <f aca="false">E16+E17+E18+E19</f>
        <v>26493.387789049</v>
      </c>
    </row>
    <row r="21" customFormat="false" ht="3.75" hidden="false" customHeight="true" outlineLevel="0" collapsed="false"/>
    <row r="22" customFormat="false" ht="18" hidden="false" customHeight="true" outlineLevel="0" collapsed="false">
      <c r="B22" s="7" t="s">
        <v>156</v>
      </c>
      <c r="C22" s="7"/>
      <c r="D22" s="7"/>
      <c r="E22" s="7"/>
      <c r="F22" s="7"/>
    </row>
    <row r="23" customFormat="false" ht="15" hidden="false" customHeight="true" outlineLevel="0" collapsed="false">
      <c r="B23" s="22" t="s">
        <v>157</v>
      </c>
      <c r="C23" s="36" t="n">
        <f aca="false">C14</f>
        <v>4500</v>
      </c>
      <c r="D23" s="36" t="n">
        <f aca="false">D14</f>
        <v>6600</v>
      </c>
      <c r="E23" s="36" t="n">
        <f aca="false">E14</f>
        <v>9200</v>
      </c>
      <c r="F23" s="43" t="s">
        <v>158</v>
      </c>
    </row>
    <row r="24" customFormat="false" ht="15.75" hidden="false" customHeight="true" outlineLevel="0" collapsed="false">
      <c r="B24" s="28" t="s">
        <v>159</v>
      </c>
      <c r="C24" s="29" t="n">
        <f aca="false">C23*(1+C8)/(C7-C8)</f>
        <v>51000</v>
      </c>
      <c r="D24" s="29" t="n">
        <f aca="false">D23*(1+D8)/(D7-D8)</f>
        <v>96642.8571428571</v>
      </c>
      <c r="E24" s="29" t="n">
        <f aca="false">E23*(1+E8)/(E7-E8)</f>
        <v>199978.947368421</v>
      </c>
    </row>
    <row r="25" customFormat="false" ht="15" hidden="false" customHeight="true" outlineLevel="0" collapsed="false">
      <c r="B25" s="22" t="s">
        <v>160</v>
      </c>
      <c r="C25" s="36" t="n">
        <f aca="false">C24/((1+C7)^4)</f>
        <v>33595.279681395</v>
      </c>
      <c r="D25" s="36" t="n">
        <f aca="false">D24/((1+D7)^4)</f>
        <v>67222.287077383</v>
      </c>
      <c r="E25" s="36" t="n">
        <f aca="false">E24/((1+E7)^4)</f>
        <v>146990.4962466</v>
      </c>
    </row>
    <row r="26" customFormat="false" ht="15" hidden="false" customHeight="true" outlineLevel="0" collapsed="false">
      <c r="B26" s="22" t="s">
        <v>161</v>
      </c>
      <c r="C26" s="27" t="n">
        <f aca="false">C25/C29</f>
        <v>0.723182604466939</v>
      </c>
      <c r="D26" s="27" t="n">
        <f aca="false">D25/D29</f>
        <v>0.780552167459645</v>
      </c>
      <c r="E26" s="27" t="n">
        <f aca="false">E25/E29</f>
        <v>0.847286173373863</v>
      </c>
    </row>
    <row r="27" customFormat="false" ht="3.75" hidden="false" customHeight="true" outlineLevel="0" collapsed="false"/>
    <row r="28" customFormat="false" ht="18" hidden="false" customHeight="true" outlineLevel="0" collapsed="false">
      <c r="B28" s="7" t="s">
        <v>162</v>
      </c>
      <c r="C28" s="7"/>
      <c r="D28" s="7"/>
      <c r="E28" s="7"/>
      <c r="F28" s="7"/>
    </row>
    <row r="29" customFormat="false" ht="15.75" hidden="false" customHeight="true" outlineLevel="0" collapsed="false">
      <c r="B29" s="28" t="s">
        <v>163</v>
      </c>
      <c r="C29" s="29" t="n">
        <f aca="false">C20+C25</f>
        <v>46454.7674043656</v>
      </c>
      <c r="D29" s="29" t="n">
        <f aca="false">D20+D25</f>
        <v>86121.4533503405</v>
      </c>
      <c r="E29" s="29" t="n">
        <f aca="false">E20+E25</f>
        <v>173483.884035649</v>
      </c>
    </row>
    <row r="30" customFormat="false" ht="15" hidden="false" customHeight="true" outlineLevel="0" collapsed="false">
      <c r="B30" s="22" t="s">
        <v>164</v>
      </c>
      <c r="C30" s="23" t="n">
        <v>1300</v>
      </c>
      <c r="D30" s="23" t="n">
        <v>1300</v>
      </c>
      <c r="E30" s="23" t="n">
        <v>1300</v>
      </c>
      <c r="F30" s="43" t="s">
        <v>165</v>
      </c>
    </row>
    <row r="31" customFormat="false" ht="15.75" hidden="false" customHeight="true" outlineLevel="0" collapsed="false">
      <c r="B31" s="28" t="s">
        <v>166</v>
      </c>
      <c r="C31" s="29" t="n">
        <f aca="false">C29-C30</f>
        <v>45154.7674043656</v>
      </c>
      <c r="D31" s="29" t="n">
        <f aca="false">D29-D30</f>
        <v>84821.4533503405</v>
      </c>
      <c r="E31" s="29" t="n">
        <f aca="false">E29-E30</f>
        <v>172183.884035649</v>
      </c>
    </row>
    <row r="32" customFormat="false" ht="15" hidden="false" customHeight="true" outlineLevel="0" collapsed="false">
      <c r="B32" s="22" t="s">
        <v>167</v>
      </c>
      <c r="C32" s="33" t="n">
        <v>159</v>
      </c>
      <c r="D32" s="33" t="n">
        <v>159</v>
      </c>
      <c r="E32" s="33" t="n">
        <v>159</v>
      </c>
      <c r="F32" s="43" t="s">
        <v>168</v>
      </c>
    </row>
    <row r="33" customFormat="false" ht="19.5" hidden="false" customHeight="true" outlineLevel="0" collapsed="false">
      <c r="B33" s="44" t="s">
        <v>169</v>
      </c>
      <c r="C33" s="49" t="n">
        <f aca="false">C31/C32</f>
        <v>283.992247826199</v>
      </c>
      <c r="D33" s="50" t="n">
        <f aca="false">D31/D32</f>
        <v>533.468260065035</v>
      </c>
      <c r="E33" s="51" t="n">
        <f aca="false">E31/E32</f>
        <v>1082.91750965817</v>
      </c>
    </row>
    <row r="34" customFormat="false" ht="15" hidden="false" customHeight="true" outlineLevel="0" collapsed="false">
      <c r="B34" s="22" t="s">
        <v>170</v>
      </c>
      <c r="C34" s="52" t="n">
        <v>958</v>
      </c>
      <c r="D34" s="52" t="n">
        <v>958</v>
      </c>
      <c r="E34" s="52" t="n">
        <v>958</v>
      </c>
      <c r="F34" s="43" t="s">
        <v>171</v>
      </c>
    </row>
    <row r="35" customFormat="false" ht="15" hidden="false" customHeight="true" outlineLevel="0" collapsed="false">
      <c r="B35" s="22" t="s">
        <v>172</v>
      </c>
      <c r="C35" s="24" t="n">
        <f aca="false">(C33-C34)/C34</f>
        <v>-0.703557152582256</v>
      </c>
      <c r="D35" s="24" t="n">
        <f aca="false">(D33-D34)/D34</f>
        <v>-0.443143778637751</v>
      </c>
      <c r="E35" s="24" t="n">
        <f aca="false">(E33-E34)/E34</f>
        <v>0.130394060185982</v>
      </c>
    </row>
    <row r="36" customFormat="false" ht="3.75" hidden="false" customHeight="true" outlineLevel="0" collapsed="false"/>
    <row r="37" customFormat="false" ht="18" hidden="false" customHeight="true" outlineLevel="0" collapsed="false">
      <c r="B37" s="53" t="s">
        <v>173</v>
      </c>
      <c r="C37" s="53"/>
      <c r="D37" s="53"/>
      <c r="E37" s="53"/>
      <c r="F37" s="53"/>
    </row>
    <row r="38" customFormat="false" ht="15" hidden="false" customHeight="false" outlineLevel="0" collapsed="false">
      <c r="B38" s="53"/>
      <c r="C38" s="53"/>
      <c r="D38" s="53"/>
      <c r="E38" s="53"/>
      <c r="F38" s="53"/>
    </row>
    <row r="40" customFormat="false" ht="39.75" hidden="false" customHeight="true" outlineLevel="0" collapsed="false">
      <c r="B40" s="35" t="s">
        <v>174</v>
      </c>
      <c r="C40" s="35"/>
      <c r="D40" s="35"/>
      <c r="E40" s="35"/>
      <c r="F40" s="35"/>
    </row>
    <row r="41" customFormat="false" ht="15" hidden="false" customHeight="false" outlineLevel="0" collapsed="false">
      <c r="B41" s="35"/>
      <c r="C41" s="35"/>
      <c r="D41" s="35"/>
      <c r="E41" s="35"/>
      <c r="F41" s="35"/>
    </row>
    <row r="42" customFormat="false" ht="15" hidden="false" customHeight="false" outlineLevel="0" collapsed="false">
      <c r="B42" s="35"/>
      <c r="C42" s="35"/>
      <c r="D42" s="35"/>
      <c r="E42" s="35"/>
      <c r="F42" s="35"/>
    </row>
  </sheetData>
  <mergeCells count="9">
    <mergeCell ref="B2:F2"/>
    <mergeCell ref="B3:F3"/>
    <mergeCell ref="B6:F6"/>
    <mergeCell ref="B10:F10"/>
    <mergeCell ref="B15:F15"/>
    <mergeCell ref="B22:F22"/>
    <mergeCell ref="B28:F28"/>
    <mergeCell ref="B37:F38"/>
    <mergeCell ref="B40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8" min="3" style="0" width="12"/>
  </cols>
  <sheetData>
    <row r="2" customFormat="false" ht="24" hidden="false" customHeight="true" outlineLevel="0" collapsed="false">
      <c r="B2" s="19" t="s">
        <v>175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customFormat="false" ht="15" hidden="false" customHeight="false" outlineLevel="0" collapsed="false">
      <c r="B3" s="20" t="s">
        <v>176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customFormat="false" ht="3" hidden="false" customHeight="true" outlineLevel="0" collapsed="false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6" customFormat="false" ht="18" hidden="false" customHeight="true" outlineLevel="0" collapsed="false">
      <c r="B6" s="54" t="s">
        <v>177</v>
      </c>
      <c r="C6" s="54"/>
      <c r="D6" s="54"/>
      <c r="E6" s="54"/>
      <c r="F6" s="54"/>
      <c r="G6" s="54"/>
      <c r="H6" s="54"/>
    </row>
    <row r="7" customFormat="false" ht="15.75" hidden="false" customHeight="true" outlineLevel="0" collapsed="false">
      <c r="B7" s="55" t="s">
        <v>178</v>
      </c>
      <c r="C7" s="56" t="n">
        <v>0.015</v>
      </c>
      <c r="D7" s="56" t="n">
        <v>0.02</v>
      </c>
      <c r="E7" s="56" t="n">
        <v>0.025</v>
      </c>
      <c r="F7" s="56" t="n">
        <v>0.03</v>
      </c>
      <c r="G7" s="56" t="n">
        <v>0.035</v>
      </c>
      <c r="H7" s="56" t="n">
        <v>0.04</v>
      </c>
    </row>
    <row r="8" customFormat="false" ht="15" hidden="false" customHeight="true" outlineLevel="0" collapsed="false">
      <c r="B8" s="56" t="n">
        <v>0.075</v>
      </c>
      <c r="C8" s="57" t="n">
        <f aca="false">IFERROR((3800/((1+0.075)^1)+4100/((1+0.075)^2)+4300/((1+0.075)^3)+4500/((1+0.075)^4)+(4500*(1+0.015)/(0.075-0.015))/((1+0.075)^4)-1300)/159,"N/A")</f>
        <v>437.837236434939</v>
      </c>
      <c r="D8" s="57" t="n">
        <f aca="false">IFERROR((3800/((1+0.075)^1)+4100/((1+0.075)^2)+4300/((1+0.075)^3)+4500/((1+0.075)^4)+(4500*(1+0.02)/(0.075-0.02))/((1+0.075)^4)-1300)/159,"N/A")</f>
        <v>472.355271148044</v>
      </c>
      <c r="E8" s="57" t="n">
        <f aca="false">IFERROR((3800/((1+0.075)^1)+4100/((1+0.075)^2)+4300/((1+0.075)^3)+4500/((1+0.075)^4)+(4500*(1+0.025)/(0.075-0.025))/((1+0.075)^4)-1300)/159,"N/A")</f>
        <v>513.77691280377</v>
      </c>
      <c r="F8" s="57" t="n">
        <f aca="false">IFERROR((3800/((1+0.075)^1)+4100/((1+0.075)^2)+4300/((1+0.075)^3)+4500/((1+0.075)^4)+(4500*(1+0.03)/(0.075-0.03))/((1+0.075)^4)-1300)/159,"N/A")</f>
        <v>564.403363716323</v>
      </c>
      <c r="G8" s="57" t="n">
        <f aca="false">IFERROR((3800/((1+0.075)^1)+4100/((1+0.075)^2)+4300/((1+0.075)^3)+4500/((1+0.075)^4)+(4500*(1+0.035)/(0.075-0.035))/((1+0.075)^4)-1300)/159,"N/A")</f>
        <v>627.686427357015</v>
      </c>
      <c r="H8" s="57" t="n">
        <f aca="false">IFERROR((3800/((1+0.075)^1)+4100/((1+0.075)^2)+4300/((1+0.075)^3)+4500/((1+0.075)^4)+(4500*(1+0.04)/(0.075-0.04))/((1+0.075)^4)-1300)/159,"N/A")</f>
        <v>709.05036632362</v>
      </c>
    </row>
    <row r="9" customFormat="false" ht="15" hidden="false" customHeight="true" outlineLevel="0" collapsed="false">
      <c r="B9" s="56" t="n">
        <v>0.085</v>
      </c>
      <c r="C9" s="57" t="n">
        <f aca="false">IFERROR((3800/((1+0.085)^1)+4100/((1+0.085)^2)+4300/((1+0.085)^3)+4500/((1+0.085)^4)+(4500*(1+0.015)/(0.085-0.015))/((1+0.085)^4)-1300)/159,"N/A")</f>
        <v>373.467811158971</v>
      </c>
      <c r="D9" s="57" t="n">
        <f aca="false">IFERROR((3800/((1+0.085)^1)+4100/((1+0.085)^2)+4300/((1+0.085)^3)+4500/((1+0.085)^4)+(4500*(1+0.02)/(0.085-0.02))/((1+0.085)^4)-1300)/159,"N/A")</f>
        <v>397.817015961917</v>
      </c>
      <c r="E9" s="57" t="n">
        <f aca="false">IFERROR((3800/((1+0.085)^1)+4100/((1+0.085)^2)+4300/((1+0.085)^3)+4500/((1+0.085)^4)+(4500*(1+0.025)/(0.085-0.025))/((1+0.085)^4)-1300)/159,"N/A")</f>
        <v>426.224421565355</v>
      </c>
      <c r="F9" s="57" t="n">
        <f aca="false">IFERROR((3800/((1+0.085)^1)+4100/((1+0.085)^2)+4300/((1+0.085)^3)+4500/((1+0.085)^4)+(4500*(1+0.03)/(0.085-0.03))/((1+0.085)^4)-1300)/159,"N/A")</f>
        <v>459.79681000578</v>
      </c>
      <c r="G9" s="57" t="n">
        <f aca="false">IFERROR((3800/((1+0.085)^1)+4100/((1+0.085)^2)+4300/((1+0.085)^3)+4500/((1+0.085)^4)+(4500*(1+0.035)/(0.085-0.035))/((1+0.085)^4)-1300)/159,"N/A")</f>
        <v>500.083676134291</v>
      </c>
      <c r="H9" s="57" t="n">
        <f aca="false">IFERROR((3800/((1+0.085)^1)+4100/((1+0.085)^2)+4300/((1+0.085)^3)+4500/((1+0.085)^4)+(4500*(1+0.04)/(0.085-0.04))/((1+0.085)^4)-1300)/159,"N/A")</f>
        <v>549.323179180249</v>
      </c>
    </row>
    <row r="10" customFormat="false" ht="15" hidden="false" customHeight="true" outlineLevel="0" collapsed="false">
      <c r="B10" s="56" t="n">
        <v>0.095</v>
      </c>
      <c r="C10" s="57" t="n">
        <f aca="false">IFERROR((3800/((1+0.095)^1)+4100/((1+0.095)^2)+4300/((1+0.095)^3)+4500/((1+0.095)^4)+(4500*(1+0.015)/(0.095-0.015))/((1+0.095)^4)-1300)/159,"N/A")</f>
        <v>325.206951575661</v>
      </c>
      <c r="D10" s="57" t="n">
        <f aca="false">IFERROR((3800/((1+0.095)^1)+4100/((1+0.095)^2)+4300/((1+0.095)^3)+4500/((1+0.095)^4)+(4500*(1+0.02)/(0.095-0.02))/((1+0.095)^4)-1300)/159,"N/A")</f>
        <v>343.170485805958</v>
      </c>
      <c r="E10" s="57" t="n">
        <f aca="false">IFERROR((3800/((1+0.095)^1)+4100/((1+0.095)^2)+4300/((1+0.095)^3)+4500/((1+0.095)^4)+(4500*(1+0.025)/(0.095-0.025))/((1+0.095)^4)-1300)/159,"N/A")</f>
        <v>363.700239212011</v>
      </c>
      <c r="F10" s="57" t="n">
        <f aca="false">IFERROR((3800/((1+0.095)^1)+4100/((1+0.095)^2)+4300/((1+0.095)^3)+4500/((1+0.095)^4)+(4500*(1+0.03)/(0.095-0.03))/((1+0.095)^4)-1300)/159,"N/A")</f>
        <v>387.388416218996</v>
      </c>
      <c r="G10" s="57" t="n">
        <f aca="false">IFERROR((3800/((1+0.095)^1)+4100/((1+0.095)^2)+4300/((1+0.095)^3)+4500/((1+0.095)^4)+(4500*(1+0.035)/(0.095-0.035))/((1+0.095)^4)-1300)/159,"N/A")</f>
        <v>415.024622727145</v>
      </c>
      <c r="H10" s="57" t="n">
        <f aca="false">IFERROR((3800/((1+0.095)^1)+4100/((1+0.095)^2)+4300/((1+0.095)^3)+4500/((1+0.095)^4)+(4500*(1+0.04)/(0.095-0.04))/((1+0.095)^4)-1300)/159,"N/A")</f>
        <v>447.685594054957</v>
      </c>
    </row>
    <row r="11" customFormat="false" ht="15" hidden="false" customHeight="true" outlineLevel="0" collapsed="false">
      <c r="B11" s="56" t="n">
        <v>0.1</v>
      </c>
      <c r="C11" s="57" t="n">
        <f aca="false">IFERROR((3800/((1+0.1)^1)+4100/((1+0.1)^2)+4300/((1+0.1)^3)+4500/((1+0.1)^4)+(4500*(1+0.015)/(0.1-0.015))/((1+0.1)^4)-1300)/159,"N/A")</f>
        <v>305.340366729457</v>
      </c>
      <c r="D11" s="57" t="n">
        <f aca="false">IFERROR((3800/((1+0.1)^1)+4100/((1+0.1)^2)+4300/((1+0.1)^3)+4500/((1+0.1)^4)+(4500*(1+0.02)/(0.1-0.02))/((1+0.1)^4)-1300)/159,"N/A")</f>
        <v>320.975386171082</v>
      </c>
      <c r="E11" s="57" t="n">
        <f aca="false">IFERROR((3800/((1+0.1)^1)+4100/((1+0.1)^2)+4300/((1+0.1)^3)+4500/((1+0.1)^4)+(4500*(1+0.025)/(0.1-0.025))/((1+0.1)^4)-1300)/159,"N/A")</f>
        <v>338.695074871591</v>
      </c>
      <c r="F11" s="57" t="n">
        <f aca="false">IFERROR((3800/((1+0.1)^1)+4100/((1+0.1)^2)+4300/((1+0.1)^3)+4500/((1+0.1)^4)+(4500*(1+0.03)/(0.1-0.03))/((1+0.1)^4)-1300)/159,"N/A")</f>
        <v>358.946147672173</v>
      </c>
      <c r="G11" s="57" t="n">
        <f aca="false">IFERROR((3800/((1+0.1)^1)+4100/((1+0.1)^2)+4300/((1+0.1)^3)+4500/((1+0.1)^4)+(4500*(1+0.035)/(0.1-0.035))/((1+0.1)^4)-1300)/159,"N/A")</f>
        <v>382.312770134382</v>
      </c>
      <c r="H11" s="57" t="n">
        <f aca="false">IFERROR((3800/((1+0.1)^1)+4100/((1+0.1)^2)+4300/((1+0.1)^3)+4500/((1+0.1)^4)+(4500*(1+0.04)/(0.1-0.04))/((1+0.1)^4)-1300)/159,"N/A")</f>
        <v>409.573829673627</v>
      </c>
    </row>
    <row r="12" customFormat="false" ht="15" hidden="false" customHeight="true" outlineLevel="0" collapsed="false">
      <c r="B12" s="56" t="n">
        <v>0.105</v>
      </c>
      <c r="C12" s="57" t="n">
        <f aca="false">IFERROR((3800/((1+0.105)^1)+4100/((1+0.105)^2)+4300/((1+0.105)^3)+4500/((1+0.105)^4)+(4500*(1+0.015)/(0.105-0.015))/((1+0.105)^4)-1300)/159,"N/A")</f>
        <v>287.684573666457</v>
      </c>
      <c r="D12" s="57" t="n">
        <f aca="false">IFERROR((3800/((1+0.105)^1)+4100/((1+0.105)^2)+4300/((1+0.105)^3)+4500/((1+0.105)^4)+(4500*(1+0.02)/(0.105-0.02))/((1+0.105)^4)-1300)/159,"N/A")</f>
        <v>301.394563242069</v>
      </c>
      <c r="E12" s="57" t="n">
        <f aca="false">IFERROR((3800/((1+0.105)^1)+4100/((1+0.105)^2)+4300/((1+0.105)^3)+4500/((1+0.105)^4)+(4500*(1+0.025)/(0.105-0.025))/((1+0.105)^4)-1300)/159,"N/A")</f>
        <v>316.818301514632</v>
      </c>
      <c r="F12" s="57" t="n">
        <f aca="false">IFERROR((3800/((1+0.105)^1)+4100/((1+0.105)^2)+4300/((1+0.105)^3)+4500/((1+0.105)^4)+(4500*(1+0.03)/(0.105-0.03))/((1+0.105)^4)-1300)/159,"N/A")</f>
        <v>334.298538223538</v>
      </c>
      <c r="G12" s="57" t="n">
        <f aca="false">IFERROR((3800/((1+0.105)^1)+4100/((1+0.105)^2)+4300/((1+0.105)^3)+4500/((1+0.105)^4)+(4500*(1+0.035)/(0.105-0.035))/((1+0.105)^4)-1300)/159,"N/A")</f>
        <v>354.275951605143</v>
      </c>
      <c r="H12" s="57" t="n">
        <f aca="false">IFERROR((3800/((1+0.105)^1)+4100/((1+0.105)^2)+4300/((1+0.105)^3)+4500/((1+0.105)^4)+(4500*(1+0.04)/(0.105-0.04))/((1+0.105)^4)-1300)/159,"N/A")</f>
        <v>377.326813199304</v>
      </c>
    </row>
    <row r="13" customFormat="false" ht="15" hidden="false" customHeight="true" outlineLevel="0" collapsed="false">
      <c r="B13" s="56" t="n">
        <v>0.11</v>
      </c>
      <c r="C13" s="57" t="n">
        <f aca="false">IFERROR((3800/((1+0.11)^1)+4100/((1+0.11)^2)+4300/((1+0.11)^3)+4500/((1+0.11)^4)+(4500*(1+0.015)/(0.11-0.015))/((1+0.11)^4)-1300)/159,"N/A")</f>
        <v>271.890437476961</v>
      </c>
      <c r="D13" s="57" t="n">
        <f aca="false">IFERROR((3800/((1+0.11)^1)+4100/((1+0.11)^2)+4300/((1+0.11)^3)+4500/((1+0.11)^4)+(4500*(1+0.02)/(0.11-0.02))/((1+0.11)^4)-1300)/159,"N/A")</f>
        <v>283.992247826199</v>
      </c>
      <c r="E13" s="57" t="n">
        <f aca="false">IFERROR((3800/((1+0.11)^1)+4100/((1+0.11)^2)+4300/((1+0.11)^3)+4500/((1+0.11)^4)+(4500*(1+0.025)/(0.11-0.025))/((1+0.11)^4)-1300)/159,"N/A")</f>
        <v>297.517800569465</v>
      </c>
      <c r="F13" s="57" t="n">
        <f aca="false">IFERROR((3800/((1+0.11)^1)+4100/((1+0.11)^2)+4300/((1+0.11)^3)+4500/((1+0.11)^4)+(4500*(1+0.03)/(0.11-0.03))/((1+0.11)^4)-1300)/159,"N/A")</f>
        <v>312.734047405639</v>
      </c>
      <c r="G13" s="57" t="n">
        <f aca="false">IFERROR((3800/((1+0.11)^1)+4100/((1+0.11)^2)+4300/((1+0.11)^3)+4500/((1+0.11)^4)+(4500*(1+0.035)/(0.11-0.035))/((1+0.11)^4)-1300)/159,"N/A")</f>
        <v>329.979127153303</v>
      </c>
      <c r="H13" s="57" t="n">
        <f aca="false">IFERROR((3800/((1+0.11)^1)+4100/((1+0.11)^2)+4300/((1+0.11)^3)+4500/((1+0.11)^4)+(4500*(1+0.04)/(0.11-0.04))/((1+0.11)^4)-1300)/159,"N/A")</f>
        <v>349.687789722062</v>
      </c>
    </row>
    <row r="14" customFormat="false" ht="15" hidden="false" customHeight="true" outlineLevel="0" collapsed="false">
      <c r="B14" s="56" t="n">
        <v>0.12</v>
      </c>
      <c r="C14" s="57" t="n">
        <f aca="false">IFERROR((3800/((1+0.12)^1)+4100/((1+0.12)^2)+4300/((1+0.12)^3)+4500/((1+0.12)^4)+(4500*(1+0.015)/(0.12-0.015))/((1+0.12)^4)-1300)/159,"N/A")</f>
        <v>244.823112388968</v>
      </c>
      <c r="D14" s="57" t="n">
        <f aca="false">IFERROR((3800/((1+0.12)^1)+4100/((1+0.12)^2)+4300/((1+0.12)^3)+4500/((1+0.12)^4)+(4500*(1+0.02)/(0.12-0.02))/((1+0.12)^4)-1300)/159,"N/A")</f>
        <v>254.415838100739</v>
      </c>
      <c r="E14" s="57" t="n">
        <f aca="false">IFERROR((3800/((1+0.12)^1)+4100/((1+0.12)^2)+4300/((1+0.12)^3)+4500/((1+0.12)^4)+(4500*(1+0.025)/(0.12-0.025))/((1+0.12)^4)-1300)/159,"N/A")</f>
        <v>265.018324413749</v>
      </c>
      <c r="F14" s="57" t="n">
        <f aca="false">IFERROR((3800/((1+0.12)^1)+4100/((1+0.12)^2)+4300/((1+0.12)^3)+4500/((1+0.12)^4)+(4500*(1+0.03)/(0.12-0.03))/((1+0.12)^4)-1300)/159,"N/A")</f>
        <v>276.798864761538</v>
      </c>
      <c r="G14" s="57" t="n">
        <f aca="false">IFERROR((3800/((1+0.12)^1)+4100/((1+0.12)^2)+4300/((1+0.12)^3)+4500/((1+0.12)^4)+(4500*(1+0.035)/(0.12-0.035))/((1+0.12)^4)-1300)/159,"N/A")</f>
        <v>289.965351032596</v>
      </c>
      <c r="H14" s="57" t="n">
        <f aca="false">IFERROR((3800/((1+0.12)^1)+4100/((1+0.12)^2)+4300/((1+0.12)^3)+4500/((1+0.12)^4)+(4500*(1+0.04)/(0.12-0.04))/((1+0.12)^4)-1300)/159,"N/A")</f>
        <v>304.777648087537</v>
      </c>
    </row>
    <row r="18" customFormat="false" ht="18" hidden="false" customHeight="true" outlineLevel="0" collapsed="false">
      <c r="B18" s="58" t="s">
        <v>179</v>
      </c>
      <c r="C18" s="58"/>
      <c r="D18" s="58"/>
      <c r="E18" s="58"/>
      <c r="F18" s="58"/>
      <c r="G18" s="58"/>
      <c r="H18" s="58"/>
    </row>
    <row r="19" customFormat="false" ht="15.75" hidden="false" customHeight="true" outlineLevel="0" collapsed="false">
      <c r="B19" s="59" t="s">
        <v>178</v>
      </c>
      <c r="C19" s="60" t="n">
        <v>0.015</v>
      </c>
      <c r="D19" s="60" t="n">
        <v>0.02</v>
      </c>
      <c r="E19" s="60" t="n">
        <v>0.025</v>
      </c>
      <c r="F19" s="60" t="n">
        <v>0.03</v>
      </c>
      <c r="G19" s="60" t="n">
        <v>0.035</v>
      </c>
      <c r="H19" s="60" t="n">
        <v>0.04</v>
      </c>
    </row>
    <row r="20" customFormat="false" ht="15" hidden="false" customHeight="true" outlineLevel="0" collapsed="false">
      <c r="B20" s="60" t="n">
        <v>0.075</v>
      </c>
      <c r="C20" s="57" t="n">
        <f aca="false">IFERROR((5200/((1+0.075)^1)+5800/((1+0.075)^2)+6200/((1+0.075)^3)+6600/((1+0.075)^4)+(6600*(1+0.015)/(0.075-0.015))/((1+0.075)^4)-1300)/159,"N/A")</f>
        <v>642.091551133546</v>
      </c>
      <c r="D20" s="57" t="n">
        <f aca="false">IFERROR((5200/((1+0.075)^1)+5800/((1+0.075)^2)+6200/((1+0.075)^3)+6600/((1+0.075)^4)+(6600*(1+0.02)/(0.075-0.02))/((1+0.075)^4)-1300)/159,"N/A")</f>
        <v>692.7180020461</v>
      </c>
      <c r="E20" s="57" t="n">
        <f aca="false">IFERROR((5200/((1+0.075)^1)+5800/((1+0.075)^2)+6200/((1+0.075)^3)+6600/((1+0.075)^4)+(6600*(1+0.025)/(0.075-0.025))/((1+0.075)^4)-1300)/159,"N/A")</f>
        <v>753.469743141164</v>
      </c>
      <c r="F20" s="57" t="n">
        <f aca="false">IFERROR((5200/((1+0.075)^1)+5800/((1+0.075)^2)+6200/((1+0.075)^3)+6600/((1+0.075)^4)+(6600*(1+0.03)/(0.075-0.03))/((1+0.075)^4)-1300)/159,"N/A")</f>
        <v>827.721871146243</v>
      </c>
      <c r="G20" s="57" t="n">
        <f aca="false">IFERROR((5200/((1+0.075)^1)+5800/((1+0.075)^2)+6200/((1+0.075)^3)+6600/((1+0.075)^4)+(6600*(1+0.035)/(0.075-0.035))/((1+0.075)^4)-1300)/159,"N/A")</f>
        <v>920.537031152591</v>
      </c>
      <c r="H20" s="57" t="n">
        <f aca="false">IFERROR((5200/((1+0.075)^1)+5800/((1+0.075)^2)+6200/((1+0.075)^3)+6600/((1+0.075)^4)+(6600*(1+0.04)/(0.075-0.04))/((1+0.075)^4)-1300)/159,"N/A")</f>
        <v>1039.87080830361</v>
      </c>
    </row>
    <row r="21" customFormat="false" ht="15" hidden="false" customHeight="true" outlineLevel="0" collapsed="false">
      <c r="B21" s="60" t="n">
        <v>0.085</v>
      </c>
      <c r="C21" s="57" t="n">
        <f aca="false">IFERROR((5200/((1+0.085)^1)+5800/((1+0.085)^2)+6200/((1+0.085)^3)+6600/((1+0.085)^4)+(6600*(1+0.015)/(0.085-0.015))/((1+0.085)^4)-1300)/159,"N/A")</f>
        <v>547.739288568662</v>
      </c>
      <c r="D21" s="57" t="n">
        <f aca="false">IFERROR((5200/((1+0.085)^1)+5800/((1+0.085)^2)+6200/((1+0.085)^3)+6600/((1+0.085)^4)+(6600*(1+0.02)/(0.085-0.02))/((1+0.085)^4)-1300)/159,"N/A")</f>
        <v>583.451455612984</v>
      </c>
      <c r="E21" s="57" t="n">
        <f aca="false">IFERROR((5200/((1+0.085)^1)+5800/((1+0.085)^2)+6200/((1+0.085)^3)+6600/((1+0.085)^4)+(6600*(1+0.025)/(0.085-0.025))/((1+0.085)^4)-1300)/159,"N/A")</f>
        <v>625.115650498025</v>
      </c>
      <c r="F21" s="57" t="n">
        <f aca="false">IFERROR((5200/((1+0.085)^1)+5800/((1+0.085)^2)+6200/((1+0.085)^3)+6600/((1+0.085)^4)+(6600*(1+0.03)/(0.085-0.03))/((1+0.085)^4)-1300)/159,"N/A")</f>
        <v>674.355153543982</v>
      </c>
      <c r="G21" s="57" t="n">
        <f aca="false">IFERROR((5200/((1+0.085)^1)+5800/((1+0.085)^2)+6200/((1+0.085)^3)+6600/((1+0.085)^4)+(6600*(1+0.035)/(0.085-0.035))/((1+0.085)^4)-1300)/159,"N/A")</f>
        <v>733.442557199132</v>
      </c>
      <c r="H21" s="57" t="n">
        <f aca="false">IFERROR((5200/((1+0.085)^1)+5800/((1+0.085)^2)+6200/((1+0.085)^3)+6600/((1+0.085)^4)+(6600*(1+0.04)/(0.085-0.04))/((1+0.085)^4)-1300)/159,"N/A")</f>
        <v>805.66049499987</v>
      </c>
    </row>
    <row r="22" customFormat="false" ht="15" hidden="false" customHeight="true" outlineLevel="0" collapsed="false">
      <c r="B22" s="60" t="n">
        <v>0.095</v>
      </c>
      <c r="C22" s="57" t="n">
        <f aca="false">IFERROR((5200/((1+0.095)^1)+5800/((1+0.095)^2)+6200/((1+0.095)^3)+6600/((1+0.095)^4)+(6600*(1+0.015)/(0.095-0.015))/((1+0.095)^4)-1300)/159,"N/A")</f>
        <v>477.011438198388</v>
      </c>
      <c r="D22" s="57" t="n">
        <f aca="false">IFERROR((5200/((1+0.095)^1)+5800/((1+0.095)^2)+6200/((1+0.095)^3)+6600/((1+0.095)^4)+(6600*(1+0.02)/(0.095-0.02))/((1+0.095)^4)-1300)/159,"N/A")</f>
        <v>503.35795506949</v>
      </c>
      <c r="E22" s="57" t="n">
        <f aca="false">IFERROR((5200/((1+0.095)^1)+5800/((1+0.095)^2)+6200/((1+0.095)^3)+6600/((1+0.095)^4)+(6600*(1+0.025)/(0.095-0.025))/((1+0.095)^4)-1300)/159,"N/A")</f>
        <v>533.468260065035</v>
      </c>
      <c r="F22" s="57" t="n">
        <f aca="false">IFERROR((5200/((1+0.095)^1)+5800/((1+0.095)^2)+6200/((1+0.095)^3)+6600/((1+0.095)^4)+(6600*(1+0.03)/(0.095-0.03))/((1+0.095)^4)-1300)/159,"N/A")</f>
        <v>568.210919675279</v>
      </c>
      <c r="G22" s="57" t="n">
        <f aca="false">IFERROR((5200/((1+0.095)^1)+5800/((1+0.095)^2)+6200/((1+0.095)^3)+6600/((1+0.095)^4)+(6600*(1+0.035)/(0.095-0.035))/((1+0.095)^4)-1300)/159,"N/A")</f>
        <v>608.744022553898</v>
      </c>
      <c r="H22" s="57" t="n">
        <f aca="false">IFERROR((5200/((1+0.095)^1)+5800/((1+0.095)^2)+6200/((1+0.095)^3)+6600/((1+0.095)^4)+(6600*(1+0.04)/(0.095-0.04))/((1+0.095)^4)-1300)/159,"N/A")</f>
        <v>656.646780501356</v>
      </c>
    </row>
    <row r="23" customFormat="false" ht="15" hidden="false" customHeight="true" outlineLevel="0" collapsed="false">
      <c r="B23" s="60" t="n">
        <v>0.1</v>
      </c>
      <c r="C23" s="57" t="n">
        <f aca="false">IFERROR((5200/((1+0.1)^1)+5800/((1+0.1)^2)+6200/((1+0.1)^3)+6600/((1+0.1)^4)+(6600*(1+0.015)/(0.1-0.015))/((1+0.1)^4)-1300)/159,"N/A")</f>
        <v>447.900612976149</v>
      </c>
      <c r="D23" s="57" t="n">
        <f aca="false">IFERROR((5200/((1+0.1)^1)+5800/((1+0.1)^2)+6200/((1+0.1)^3)+6600/((1+0.1)^4)+(6600*(1+0.02)/(0.1-0.02))/((1+0.1)^4)-1300)/159,"N/A")</f>
        <v>470.831974823866</v>
      </c>
      <c r="E23" s="57" t="n">
        <f aca="false">IFERROR((5200/((1+0.1)^1)+5800/((1+0.1)^2)+6200/((1+0.1)^3)+6600/((1+0.1)^4)+(6600*(1+0.025)/(0.1-0.025))/((1+0.1)^4)-1300)/159,"N/A")</f>
        <v>496.820851584612</v>
      </c>
      <c r="F23" s="57" t="n">
        <f aca="false">IFERROR((5200/((1+0.1)^1)+5800/((1+0.1)^2)+6200/((1+0.1)^3)+6600/((1+0.1)^4)+(6600*(1+0.03)/(0.1-0.03))/((1+0.1)^4)-1300)/159,"N/A")</f>
        <v>526.522425025466</v>
      </c>
      <c r="G23" s="57" t="n">
        <f aca="false">IFERROR((5200/((1+0.1)^1)+5800/((1+0.1)^2)+6200/((1+0.1)^3)+6600/((1+0.1)^4)+(6600*(1+0.035)/(0.1-0.035))/((1+0.1)^4)-1300)/159,"N/A")</f>
        <v>560.793471303373</v>
      </c>
      <c r="H23" s="57" t="n">
        <f aca="false">IFERROR((5200/((1+0.1)^1)+5800/((1+0.1)^2)+6200/((1+0.1)^3)+6600/((1+0.1)^4)+(6600*(1+0.04)/(0.1-0.04))/((1+0.1)^4)-1300)/159,"N/A")</f>
        <v>600.776358627598</v>
      </c>
    </row>
    <row r="24" customFormat="false" ht="15" hidden="false" customHeight="true" outlineLevel="0" collapsed="false">
      <c r="B24" s="60" t="n">
        <v>0.105</v>
      </c>
      <c r="C24" s="57" t="n">
        <f aca="false">IFERROR((5200/((1+0.105)^1)+5800/((1+0.105)^2)+6200/((1+0.105)^3)+6600/((1+0.105)^4)+(6600*(1+0.015)/(0.105-0.015))/((1+0.105)^4)-1300)/159,"N/A")</f>
        <v>422.031931724467</v>
      </c>
      <c r="D24" s="57" t="n">
        <f aca="false">IFERROR((5200/((1+0.105)^1)+5800/((1+0.105)^2)+6200/((1+0.105)^3)+6600/((1+0.105)^4)+(6600*(1+0.02)/(0.105-0.02))/((1+0.105)^4)-1300)/159,"N/A")</f>
        <v>442.139916435364</v>
      </c>
      <c r="E24" s="57" t="n">
        <f aca="false">IFERROR((5200/((1+0.105)^1)+5800/((1+0.105)^2)+6200/((1+0.105)^3)+6600/((1+0.105)^4)+(6600*(1+0.025)/(0.105-0.025))/((1+0.105)^4)-1300)/159,"N/A")</f>
        <v>464.761399235124</v>
      </c>
      <c r="F24" s="57" t="n">
        <f aca="false">IFERROR((5200/((1+0.105)^1)+5800/((1+0.105)^2)+6200/((1+0.105)^3)+6600/((1+0.105)^4)+(6600*(1+0.03)/(0.105-0.03))/((1+0.105)^4)-1300)/159,"N/A")</f>
        <v>490.399079741518</v>
      </c>
      <c r="G24" s="57" t="n">
        <f aca="false">IFERROR((5200/((1+0.105)^1)+5800/((1+0.105)^2)+6200/((1+0.105)^3)+6600/((1+0.105)^4)+(6600*(1+0.035)/(0.105-0.035))/((1+0.105)^4)-1300)/159,"N/A")</f>
        <v>519.69928603454</v>
      </c>
      <c r="H24" s="57" t="n">
        <f aca="false">IFERROR((5200/((1+0.105)^1)+5800/((1+0.105)^2)+6200/((1+0.105)^3)+6600/((1+0.105)^4)+(6600*(1+0.04)/(0.105-0.04))/((1+0.105)^4)-1300)/159,"N/A")</f>
        <v>553.507216372642</v>
      </c>
    </row>
    <row r="25" customFormat="false" ht="15" hidden="false" customHeight="true" outlineLevel="0" collapsed="false">
      <c r="B25" s="60" t="n">
        <v>0.11</v>
      </c>
      <c r="C25" s="57" t="n">
        <f aca="false">IFERROR((5200/((1+0.11)^1)+5800/((1+0.11)^2)+6200/((1+0.11)^3)+6600/((1+0.11)^4)+(6600*(1+0.015)/(0.11-0.015))/((1+0.11)^4)-1300)/159,"N/A")</f>
        <v>398.893336374383</v>
      </c>
      <c r="D25" s="57" t="n">
        <f aca="false">IFERROR((5200/((1+0.11)^1)+5800/((1+0.11)^2)+6200/((1+0.11)^3)+6600/((1+0.11)^4)+(6600*(1+0.02)/(0.11-0.02))/((1+0.11)^4)-1300)/159,"N/A")</f>
        <v>416.642658219932</v>
      </c>
      <c r="E25" s="57" t="n">
        <f aca="false">IFERROR((5200/((1+0.11)^1)+5800/((1+0.11)^2)+6200/((1+0.11)^3)+6600/((1+0.11)^4)+(6600*(1+0.025)/(0.11-0.025))/((1+0.11)^4)-1300)/159,"N/A")</f>
        <v>436.480135576721</v>
      </c>
      <c r="F25" s="57" t="n">
        <f aca="false">IFERROR((5200/((1+0.11)^1)+5800/((1+0.11)^2)+6200/((1+0.11)^3)+6600/((1+0.11)^4)+(6600*(1+0.03)/(0.11-0.03))/((1+0.11)^4)-1300)/159,"N/A")</f>
        <v>458.79729760311</v>
      </c>
      <c r="G25" s="57" t="n">
        <f aca="false">IFERROR((5200/((1+0.11)^1)+5800/((1+0.11)^2)+6200/((1+0.11)^3)+6600/((1+0.11)^4)+(6600*(1+0.035)/(0.11-0.035))/((1+0.11)^4)-1300)/159,"N/A")</f>
        <v>484.090081233017</v>
      </c>
      <c r="H25" s="57" t="n">
        <f aca="false">IFERROR((5200/((1+0.11)^1)+5800/((1+0.11)^2)+6200/((1+0.11)^3)+6600/((1+0.11)^4)+(6600*(1+0.04)/(0.11-0.04))/((1+0.11)^4)-1300)/159,"N/A")</f>
        <v>512.996119667197</v>
      </c>
    </row>
    <row r="26" customFormat="false" ht="15" hidden="false" customHeight="true" outlineLevel="0" collapsed="false">
      <c r="B26" s="60" t="n">
        <v>0.12</v>
      </c>
      <c r="C26" s="57" t="n">
        <f aca="false">IFERROR((5200/((1+0.12)^1)+5800/((1+0.12)^2)+6200/((1+0.12)^3)+6600/((1+0.12)^4)+(6600*(1+0.015)/(0.12-0.015))/((1+0.12)^4)-1300)/159,"N/A")</f>
        <v>359.245860935826</v>
      </c>
      <c r="D26" s="57" t="n">
        <f aca="false">IFERROR((5200/((1+0.12)^1)+5800/((1+0.12)^2)+6200/((1+0.12)^3)+6600/((1+0.12)^4)+(6600*(1+0.02)/(0.12-0.02))/((1+0.12)^4)-1300)/159,"N/A")</f>
        <v>373.315191979757</v>
      </c>
      <c r="E26" s="57" t="n">
        <f aca="false">IFERROR((5200/((1+0.12)^1)+5800/((1+0.12)^2)+6200/((1+0.12)^3)+6600/((1+0.12)^4)+(6600*(1+0.025)/(0.12-0.025))/((1+0.12)^4)-1300)/159,"N/A")</f>
        <v>388.865505238838</v>
      </c>
      <c r="F26" s="57" t="n">
        <f aca="false">IFERROR((5200/((1+0.12)^1)+5800/((1+0.12)^2)+6200/((1+0.12)^3)+6600/((1+0.12)^4)+(6600*(1+0.03)/(0.12-0.03))/((1+0.12)^4)-1300)/159,"N/A")</f>
        <v>406.143631082262</v>
      </c>
      <c r="G26" s="57" t="n">
        <f aca="false">IFERROR((5200/((1+0.12)^1)+5800/((1+0.12)^2)+6200/((1+0.12)^3)+6600/((1+0.12)^4)+(6600*(1+0.035)/(0.12-0.035))/((1+0.12)^4)-1300)/159,"N/A")</f>
        <v>425.454477613148</v>
      </c>
      <c r="H26" s="57" t="n">
        <f aca="false">IFERROR((5200/((1+0.12)^1)+5800/((1+0.12)^2)+6200/((1+0.12)^3)+6600/((1+0.12)^4)+(6600*(1+0.04)/(0.12-0.04))/((1+0.12)^4)-1300)/159,"N/A")</f>
        <v>447.179179960394</v>
      </c>
    </row>
    <row r="30" customFormat="false" ht="18" hidden="false" customHeight="true" outlineLevel="0" collapsed="false">
      <c r="B30" s="61" t="s">
        <v>180</v>
      </c>
      <c r="C30" s="61"/>
      <c r="D30" s="61"/>
      <c r="E30" s="61"/>
      <c r="F30" s="61"/>
      <c r="G30" s="61"/>
      <c r="H30" s="61"/>
    </row>
    <row r="31" customFormat="false" ht="15.75" hidden="false" customHeight="true" outlineLevel="0" collapsed="false">
      <c r="B31" s="62" t="s">
        <v>178</v>
      </c>
      <c r="C31" s="63" t="n">
        <v>0.015</v>
      </c>
      <c r="D31" s="63" t="n">
        <v>0.02</v>
      </c>
      <c r="E31" s="63" t="n">
        <v>0.025</v>
      </c>
      <c r="F31" s="63" t="n">
        <v>0.03</v>
      </c>
      <c r="G31" s="63" t="n">
        <v>0.035</v>
      </c>
      <c r="H31" s="63" t="n">
        <v>0.04</v>
      </c>
    </row>
    <row r="32" customFormat="false" ht="15" hidden="false" customHeight="true" outlineLevel="0" collapsed="false">
      <c r="B32" s="63" t="n">
        <v>0.075</v>
      </c>
      <c r="C32" s="57" t="n">
        <f aca="false">IFERROR((6800/((1+0.075)^1)+7800/((1+0.075)^2)+8500/((1+0.075)^3)+9200/((1+0.075)^4)+(9200*(1+0.015)/(0.075-0.015))/((1+0.075)^4)-1300)/159,"N/A")</f>
        <v>893.362439851096</v>
      </c>
      <c r="D32" s="57" t="n">
        <f aca="false">IFERROR((6800/((1+0.075)^1)+7800/((1+0.075)^2)+8500/((1+0.075)^3)+9200/((1+0.075)^4)+(9200*(1+0.02)/(0.075-0.02))/((1+0.075)^4)-1300)/159,"N/A")</f>
        <v>963.932644153444</v>
      </c>
      <c r="E32" s="57" t="n">
        <f aca="false">IFERROR((6800/((1+0.075)^1)+7800/((1+0.075)^2)+8500/((1+0.075)^3)+9200/((1+0.075)^4)+(9200*(1+0.025)/(0.075-0.025))/((1+0.075)^4)-1300)/159,"N/A")</f>
        <v>1048.61688931626</v>
      </c>
      <c r="F32" s="57" t="n">
        <f aca="false">IFERROR((6800/((1+0.075)^1)+7800/((1+0.075)^2)+8500/((1+0.075)^3)+9200/((1+0.075)^4)+(9200*(1+0.03)/(0.075-0.03))/((1+0.075)^4)-1300)/159,"N/A")</f>
        <v>1152.11985562637</v>
      </c>
      <c r="G32" s="57" t="n">
        <f aca="false">IFERROR((6800/((1+0.075)^1)+7800/((1+0.075)^2)+8500/((1+0.075)^3)+9200/((1+0.075)^4)+(9200*(1+0.035)/(0.075-0.035))/((1+0.075)^4)-1300)/159,"N/A")</f>
        <v>1281.49856351401</v>
      </c>
      <c r="H32" s="57" t="n">
        <f aca="false">IFERROR((6800/((1+0.075)^1)+7800/((1+0.075)^2)+8500/((1+0.075)^3)+9200/((1+0.075)^4)+(9200*(1+0.04)/(0.075-0.04))/((1+0.075)^4)-1300)/159,"N/A")</f>
        <v>1447.8426165124</v>
      </c>
    </row>
    <row r="33" customFormat="false" ht="15" hidden="false" customHeight="true" outlineLevel="0" collapsed="false">
      <c r="B33" s="63" t="n">
        <v>0.085</v>
      </c>
      <c r="C33" s="57" t="n">
        <f aca="false">IFERROR((6800/((1+0.085)^1)+7800/((1+0.085)^2)+8500/((1+0.085)^3)+9200/((1+0.085)^4)+(9200*(1+0.015)/(0.085-0.015))/((1+0.085)^4)-1300)/159,"N/A")</f>
        <v>761.913485008059</v>
      </c>
      <c r="D33" s="57" t="n">
        <f aca="false">IFERROR((6800/((1+0.085)^1)+7800/((1+0.085)^2)+8500/((1+0.085)^3)+9200/((1+0.085)^4)+(9200*(1+0.02)/(0.085-0.02))/((1+0.085)^4)-1300)/159,"N/A")</f>
        <v>811.694081494082</v>
      </c>
      <c r="E33" s="57" t="n">
        <f aca="false">IFERROR((6800/((1+0.085)^1)+7800/((1+0.085)^2)+8500/((1+0.085)^3)+9200/((1+0.085)^4)+(9200*(1+0.025)/(0.085-0.025))/((1+0.085)^4)-1300)/159,"N/A")</f>
        <v>869.77144406111</v>
      </c>
      <c r="F33" s="57" t="n">
        <f aca="false">IFERROR((6800/((1+0.085)^1)+7800/((1+0.085)^2)+8500/((1+0.085)^3)+9200/((1+0.085)^4)+(9200*(1+0.03)/(0.085-0.03))/((1+0.085)^4)-1300)/159,"N/A")</f>
        <v>938.408327094869</v>
      </c>
      <c r="G33" s="57" t="n">
        <f aca="false">IFERROR((6800/((1+0.085)^1)+7800/((1+0.085)^2)+8500/((1+0.085)^3)+9200/((1+0.085)^4)+(9200*(1+0.035)/(0.085-0.035))/((1+0.085)^4)-1300)/159,"N/A")</f>
        <v>1020.77258673538</v>
      </c>
      <c r="H33" s="57" t="n">
        <f aca="false">IFERROR((6800/((1+0.085)^1)+7800/((1+0.085)^2)+8500/((1+0.085)^3)+9200/((1+0.085)^4)+(9200*(1+0.04)/(0.085-0.04))/((1+0.085)^4)-1300)/159,"N/A")</f>
        <v>1121.44001518489</v>
      </c>
    </row>
    <row r="34" customFormat="false" ht="15" hidden="false" customHeight="true" outlineLevel="0" collapsed="false">
      <c r="B34" s="63" t="n">
        <v>0.095</v>
      </c>
      <c r="C34" s="57" t="n">
        <f aca="false">IFERROR((6800/((1+0.095)^1)+7800/((1+0.095)^2)+8500/((1+0.095)^3)+9200/((1+0.095)^4)+(9200*(1+0.015)/(0.095-0.015))/((1+0.095)^4)-1300)/159,"N/A")</f>
        <v>663.393596541707</v>
      </c>
      <c r="D34" s="57" t="n">
        <f aca="false">IFERROR((6800/((1+0.095)^1)+7800/((1+0.095)^2)+8500/((1+0.095)^3)+9200/((1+0.095)^4)+(9200*(1+0.02)/(0.095-0.02))/((1+0.095)^4)-1300)/159,"N/A")</f>
        <v>700.119044301425</v>
      </c>
      <c r="E34" s="57" t="n">
        <f aca="false">IFERROR((6800/((1+0.095)^1)+7800/((1+0.095)^2)+8500/((1+0.095)^3)+9200/((1+0.095)^4)+(9200*(1+0.025)/(0.095-0.025))/((1+0.095)^4)-1300)/159,"N/A")</f>
        <v>742.090984598246</v>
      </c>
      <c r="F34" s="57" t="n">
        <f aca="false">IFERROR((6800/((1+0.095)^1)+7800/((1+0.095)^2)+8500/((1+0.095)^3)+9200/((1+0.095)^4)+(9200*(1+0.03)/(0.095-0.03))/((1+0.095)^4)-1300)/159,"N/A")</f>
        <v>790.520146479192</v>
      </c>
      <c r="G34" s="57" t="n">
        <f aca="false">IFERROR((6800/((1+0.095)^1)+7800/((1+0.095)^2)+8500/((1+0.095)^3)+9200/((1+0.095)^4)+(9200*(1+0.035)/(0.095-0.035))/((1+0.095)^4)-1300)/159,"N/A")</f>
        <v>847.020835340297</v>
      </c>
      <c r="H34" s="57" t="n">
        <f aca="false">IFERROR((6800/((1+0.095)^1)+7800/((1+0.095)^2)+8500/((1+0.095)^3)+9200/((1+0.095)^4)+(9200*(1+0.04)/(0.095-0.04))/((1+0.095)^4)-1300)/159,"N/A")</f>
        <v>913.794376721602</v>
      </c>
    </row>
    <row r="35" customFormat="false" ht="15" hidden="false" customHeight="true" outlineLevel="0" collapsed="false">
      <c r="B35" s="63" t="n">
        <v>0.1</v>
      </c>
      <c r="C35" s="57" t="n">
        <f aca="false">IFERROR((6800/((1+0.1)^1)+7800/((1+0.1)^2)+8500/((1+0.1)^3)+9200/((1+0.1)^4)+(9200*(1+0.015)/(0.1-0.015))/((1+0.1)^4)-1300)/159,"N/A")</f>
        <v>622.849392652458</v>
      </c>
      <c r="D35" s="57" t="n">
        <f aca="false">IFERROR((6800/((1+0.1)^1)+7800/((1+0.1)^2)+8500/((1+0.1)^3)+9200/((1+0.1)^4)+(9200*(1+0.02)/(0.1-0.02))/((1+0.1)^4)-1300)/159,"N/A")</f>
        <v>654.81432128867</v>
      </c>
      <c r="E35" s="57" t="n">
        <f aca="false">IFERROR((6800/((1+0.1)^1)+7800/((1+0.1)^2)+8500/((1+0.1)^3)+9200/((1+0.1)^4)+(9200*(1+0.025)/(0.1-0.025))/((1+0.1)^4)-1300)/159,"N/A")</f>
        <v>691.04124040971</v>
      </c>
      <c r="F35" s="57" t="n">
        <f aca="false">IFERROR((6800/((1+0.1)^1)+7800/((1+0.1)^2)+8500/((1+0.1)^3)+9200/((1+0.1)^4)+(9200*(1+0.03)/(0.1-0.03))/((1+0.1)^4)-1300)/159,"N/A")</f>
        <v>732.4434336909</v>
      </c>
      <c r="G35" s="57" t="n">
        <f aca="false">IFERROR((6800/((1+0.1)^1)+7800/((1+0.1)^2)+8500/((1+0.1)^3)+9200/((1+0.1)^4)+(9200*(1+0.035)/(0.1-0.035))/((1+0.1)^4)-1300)/159,"N/A")</f>
        <v>780.215195169195</v>
      </c>
      <c r="H35" s="57" t="n">
        <f aca="false">IFERROR((6800/((1+0.1)^1)+7800/((1+0.1)^2)+8500/((1+0.1)^3)+9200/((1+0.1)^4)+(9200*(1+0.04)/(0.1-0.04))/((1+0.1)^4)-1300)/159,"N/A")</f>
        <v>835.948916893872</v>
      </c>
    </row>
    <row r="36" customFormat="false" ht="15" hidden="false" customHeight="true" outlineLevel="0" collapsed="false">
      <c r="B36" s="63" t="n">
        <v>0.105</v>
      </c>
      <c r="C36" s="57" t="n">
        <f aca="false">IFERROR((6800/((1+0.105)^1)+7800/((1+0.105)^2)+8500/((1+0.105)^3)+9200/((1+0.105)^4)+(9200*(1+0.015)/(0.105-0.015))/((1+0.105)^4)-1300)/159,"N/A")</f>
        <v>586.824084587449</v>
      </c>
      <c r="D36" s="57" t="n">
        <f aca="false">IFERROR((6800/((1+0.105)^1)+7800/((1+0.105)^2)+8500/((1+0.105)^3)+9200/((1+0.105)^4)+(9200*(1+0.02)/(0.105-0.02))/((1+0.105)^4)-1300)/159,"N/A")</f>
        <v>614.8533966087</v>
      </c>
      <c r="E36" s="57" t="n">
        <f aca="false">IFERROR((6800/((1+0.105)^1)+7800/((1+0.105)^2)+8500/((1+0.105)^3)+9200/((1+0.105)^4)+(9200*(1+0.025)/(0.105-0.025))/((1+0.105)^4)-1300)/159,"N/A")</f>
        <v>646.386372632607</v>
      </c>
      <c r="F36" s="57" t="n">
        <f aca="false">IFERROR((6800/((1+0.105)^1)+7800/((1+0.105)^2)+8500/((1+0.105)^3)+9200/((1+0.105)^4)+(9200*(1+0.03)/(0.105-0.03))/((1+0.105)^4)-1300)/159,"N/A")</f>
        <v>682.123745459702</v>
      </c>
      <c r="G36" s="57" t="n">
        <f aca="false">IFERROR((6800/((1+0.105)^1)+7800/((1+0.105)^2)+8500/((1+0.105)^3)+9200/((1+0.105)^4)+(9200*(1+0.035)/(0.105-0.035))/((1+0.105)^4)-1300)/159,"N/A")</f>
        <v>722.966457262096</v>
      </c>
      <c r="H36" s="57" t="n">
        <f aca="false">IFERROR((6800/((1+0.105)^1)+7800/((1+0.105)^2)+8500/((1+0.105)^3)+9200/((1+0.105)^4)+(9200*(1+0.04)/(0.105-0.04))/((1+0.105)^4)-1300)/159,"N/A")</f>
        <v>770.092663187936</v>
      </c>
    </row>
    <row r="37" customFormat="false" ht="15" hidden="false" customHeight="true" outlineLevel="0" collapsed="false">
      <c r="B37" s="63" t="n">
        <v>0.11</v>
      </c>
      <c r="C37" s="57" t="n">
        <f aca="false">IFERROR((6800/((1+0.11)^1)+7800/((1+0.11)^2)+8500/((1+0.11)^3)+9200/((1+0.11)^4)+(9200*(1+0.015)/(0.11-0.015))/((1+0.11)^4)-1300)/159,"N/A")</f>
        <v>554.603902905335</v>
      </c>
      <c r="D37" s="57" t="n">
        <f aca="false">IFERROR((6800/((1+0.11)^1)+7800/((1+0.11)^2)+8500/((1+0.11)^3)+9200/((1+0.11)^4)+(9200*(1+0.02)/(0.11-0.02))/((1+0.11)^4)-1300)/159,"N/A")</f>
        <v>579.345381841555</v>
      </c>
      <c r="E37" s="57" t="n">
        <f aca="false">IFERROR((6800/((1+0.11)^1)+7800/((1+0.11)^2)+8500/((1+0.11)^3)+9200/((1+0.11)^4)+(9200*(1+0.025)/(0.11-0.025))/((1+0.11)^4)-1300)/159,"N/A")</f>
        <v>606.997623005565</v>
      </c>
      <c r="F37" s="57" t="n">
        <f aca="false">IFERROR((6800/((1+0.11)^1)+7800/((1+0.11)^2)+8500/((1+0.11)^3)+9200/((1+0.11)^4)+(9200*(1+0.03)/(0.11-0.03))/((1+0.11)^4)-1300)/159,"N/A")</f>
        <v>638.106394315076</v>
      </c>
      <c r="G37" s="57" t="n">
        <f aca="false">IFERROR((6800/((1+0.11)^1)+7800/((1+0.11)^2)+8500/((1+0.11)^3)+9200/((1+0.11)^4)+(9200*(1+0.035)/(0.11-0.035))/((1+0.11)^4)-1300)/159,"N/A")</f>
        <v>673.363001799189</v>
      </c>
      <c r="H37" s="57" t="n">
        <f aca="false">IFERROR((6800/((1+0.11)^1)+7800/((1+0.11)^2)+8500/((1+0.11)^3)+9200/((1+0.11)^4)+(9200*(1+0.04)/(0.11-0.04))/((1+0.11)^4)-1300)/159,"N/A")</f>
        <v>713.656267495318</v>
      </c>
    </row>
    <row r="38" customFormat="false" ht="15" hidden="false" customHeight="true" outlineLevel="0" collapsed="false">
      <c r="B38" s="63" t="n">
        <v>0.12</v>
      </c>
      <c r="C38" s="57" t="n">
        <f aca="false">IFERROR((6800/((1+0.12)^1)+7800/((1+0.12)^2)+8500/((1+0.12)^3)+9200/((1+0.12)^4)+(9200*(1+0.015)/(0.12-0.015))/((1+0.12)^4)-1300)/159,"N/A")</f>
        <v>499.403650001266</v>
      </c>
      <c r="D38" s="57" t="n">
        <f aca="false">IFERROR((6800/((1+0.12)^1)+7800/((1+0.12)^2)+8500/((1+0.12)^3)+9200/((1+0.12)^4)+(9200*(1+0.02)/(0.12-0.02))/((1+0.12)^4)-1300)/159,"N/A")</f>
        <v>519.015444789776</v>
      </c>
      <c r="E38" s="57" t="n">
        <f aca="false">IFERROR((6800/((1+0.12)^1)+7800/((1+0.12)^2)+8500/((1+0.12)^3)+9200/((1+0.12)^4)+(9200*(1+0.025)/(0.12-0.025))/((1+0.12)^4)-1300)/159,"N/A")</f>
        <v>540.691639029707</v>
      </c>
      <c r="F38" s="57" t="n">
        <f aca="false">IFERROR((6800/((1+0.12)^1)+7800/((1+0.12)^2)+8500/((1+0.12)^3)+9200/((1+0.12)^4)+(9200*(1+0.03)/(0.12-0.03))/((1+0.12)^4)-1300)/159,"N/A")</f>
        <v>564.776299296298</v>
      </c>
      <c r="G38" s="57" t="n">
        <f aca="false">IFERROR((6800/((1+0.12)^1)+7800/((1+0.12)^2)+8500/((1+0.12)^3)+9200/((1+0.12)^4)+(9200*(1+0.035)/(0.12-0.035))/((1+0.12)^4)-1300)/159,"N/A")</f>
        <v>591.694449006017</v>
      </c>
      <c r="H38" s="57" t="n">
        <f aca="false">IFERROR((6800/((1+0.12)^1)+7800/((1+0.12)^2)+8500/((1+0.12)^3)+9200/((1+0.12)^4)+(9200*(1+0.04)/(0.12-0.04))/((1+0.12)^4)-1300)/159,"N/A")</f>
        <v>621.977367429451</v>
      </c>
    </row>
    <row r="42" customFormat="false" ht="6" hidden="false" customHeight="true" outlineLevel="0" collapsed="false"/>
    <row r="43" customFormat="false" ht="18" hidden="false" customHeight="true" outlineLevel="0" collapsed="false">
      <c r="B43" s="64" t="s">
        <v>181</v>
      </c>
      <c r="C43" s="64"/>
      <c r="D43" s="64"/>
      <c r="E43" s="64"/>
      <c r="F43" s="64"/>
      <c r="G43" s="64"/>
      <c r="H43" s="64"/>
      <c r="I43" s="64"/>
    </row>
    <row r="44" customFormat="false" ht="18" hidden="false" customHeight="true" outlineLevel="0" collapsed="false">
      <c r="B44" s="64"/>
      <c r="C44" s="64"/>
      <c r="D44" s="64"/>
      <c r="E44" s="64"/>
      <c r="F44" s="64"/>
      <c r="G44" s="64"/>
      <c r="H44" s="64"/>
      <c r="I44" s="64"/>
    </row>
    <row r="46" customFormat="false" ht="30" hidden="false" customHeight="true" outlineLevel="0" collapsed="false">
      <c r="B46" s="35" t="s">
        <v>182</v>
      </c>
      <c r="C46" s="35"/>
      <c r="D46" s="35"/>
      <c r="E46" s="35"/>
      <c r="F46" s="35"/>
      <c r="G46" s="35"/>
      <c r="H46" s="35"/>
      <c r="I46" s="35"/>
    </row>
    <row r="47" customFormat="false" ht="15" hidden="false" customHeight="false" outlineLevel="0" collapsed="false">
      <c r="B47" s="35"/>
      <c r="C47" s="35"/>
      <c r="D47" s="35"/>
      <c r="E47" s="35"/>
      <c r="F47" s="35"/>
      <c r="G47" s="35"/>
      <c r="H47" s="35"/>
      <c r="I47" s="35"/>
    </row>
  </sheetData>
  <mergeCells count="7">
    <mergeCell ref="B2:N2"/>
    <mergeCell ref="B3:N3"/>
    <mergeCell ref="B6:H6"/>
    <mergeCell ref="B18:H18"/>
    <mergeCell ref="B30:H30"/>
    <mergeCell ref="B43:I44"/>
    <mergeCell ref="B46:I47"/>
  </mergeCells>
  <conditionalFormatting sqref="C8:H14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0:H26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32:H38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2026-04-04T01:34:33Z</dcterms:created>
  <dc:creator>openpyxl</dc:creator>
  <dc:description/>
  <dc:language>en-US</dc:language>
  <cp:lastModifiedBy/>
  <dcterms:modified xsi:type="dcterms:W3CDTF">2026-04-04T01:34:33Z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